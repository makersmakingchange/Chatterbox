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neilsquiresoc-my.sharepoint.com/personal/stephand_neilsquire_ca/Documents/Documents/GitHub/Auditory-Scanning-Device/Documentation/Working_Documents/"/>
    </mc:Choice>
  </mc:AlternateContent>
  <xr:revisionPtr revIDLastSave="809" documentId="11_DC0E2523FAFE28515E8D5C5A1D4A6B02C3B15AFA" xr6:coauthVersionLast="47" xr6:coauthVersionMax="47" xr10:uidLastSave="{0FE5F92A-1582-4439-BD86-02DFDF131276}"/>
  <bookViews>
    <workbookView xWindow="19090" yWindow="-110" windowWidth="38620" windowHeight="21100" xr2:uid="{00000000-000D-0000-FFFF-FFFF00000000}"/>
  </bookViews>
  <sheets>
    <sheet name="BOM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2" l="1"/>
  <c r="K6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49" i="2"/>
  <c r="L50" i="2"/>
  <c r="K49" i="2"/>
  <c r="K50" i="2"/>
  <c r="I50" i="2"/>
  <c r="I49" i="2"/>
  <c r="K51" i="2"/>
  <c r="L51" i="2"/>
  <c r="I51" i="2"/>
  <c r="K29" i="2"/>
  <c r="I52" i="2"/>
  <c r="I48" i="2"/>
  <c r="I47" i="2"/>
  <c r="I46" i="2"/>
  <c r="K45" i="2"/>
  <c r="L45" i="2" s="1"/>
  <c r="K46" i="2"/>
  <c r="L46" i="2" s="1"/>
  <c r="K47" i="2"/>
  <c r="L47" i="2" s="1"/>
  <c r="K48" i="2"/>
  <c r="L48" i="2" s="1"/>
  <c r="K52" i="2"/>
  <c r="L52" i="2" s="1"/>
  <c r="I45" i="2"/>
  <c r="K9" i="2" l="1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30" i="2"/>
  <c r="L34" i="2" l="1"/>
  <c r="L35" i="2"/>
  <c r="K34" i="2"/>
  <c r="K35" i="2"/>
  <c r="K36" i="2"/>
  <c r="I36" i="2"/>
  <c r="L36" i="2" s="1"/>
  <c r="K44" i="2" l="1"/>
  <c r="L44" i="2" s="1"/>
  <c r="I44" i="2"/>
  <c r="K43" i="2"/>
  <c r="L43" i="2" s="1"/>
  <c r="I43" i="2"/>
  <c r="K42" i="2"/>
  <c r="L42" i="2" s="1"/>
  <c r="I42" i="2"/>
  <c r="K41" i="2"/>
  <c r="I41" i="2"/>
  <c r="K40" i="2"/>
  <c r="L40" i="2" s="1"/>
  <c r="I40" i="2"/>
  <c r="K33" i="2"/>
  <c r="K31" i="2" s="1"/>
  <c r="I33" i="2"/>
  <c r="L33" i="2" s="1"/>
  <c r="L31" i="2" s="1"/>
  <c r="K8" i="2"/>
  <c r="I8" i="2"/>
  <c r="L8" i="2" s="1"/>
  <c r="I5" i="2"/>
  <c r="K38" i="2" l="1"/>
  <c r="I38" i="2"/>
  <c r="L41" i="2"/>
  <c r="K5" i="2" l="1"/>
  <c r="L38" i="2"/>
  <c r="L5" i="2" s="1"/>
</calcChain>
</file>

<file path=xl/sharedStrings.xml><?xml version="1.0" encoding="utf-8"?>
<sst xmlns="http://schemas.openxmlformats.org/spreadsheetml/2006/main" count="226" uniqueCount="138">
  <si>
    <t>Total filament (g)</t>
  </si>
  <si>
    <t>Link</t>
  </si>
  <si>
    <t>Part</t>
  </si>
  <si>
    <t>Description</t>
  </si>
  <si>
    <t>Commercial Parts</t>
  </si>
  <si>
    <t>ID</t>
  </si>
  <si>
    <t>Last Updated:</t>
  </si>
  <si>
    <t>Version:</t>
  </si>
  <si>
    <t>Device:</t>
  </si>
  <si>
    <t>Manufacturer</t>
  </si>
  <si>
    <t>Supplier</t>
  </si>
  <si>
    <t>QTY / PKG</t>
  </si>
  <si>
    <t>PKGs</t>
  </si>
  <si>
    <t>$/ PKG</t>
  </si>
  <si>
    <t>QTY / Device</t>
  </si>
  <si>
    <t>$ / Device</t>
  </si>
  <si>
    <t>Filament</t>
  </si>
  <si>
    <t>Color</t>
  </si>
  <si>
    <t>Any</t>
  </si>
  <si>
    <t>Filament Type</t>
  </si>
  <si>
    <t>PLA</t>
  </si>
  <si>
    <t>$ / kg</t>
  </si>
  <si>
    <t>3D Printed Parts</t>
  </si>
  <si>
    <t>Tools</t>
  </si>
  <si>
    <t>Total Mass</t>
  </si>
  <si>
    <t>Custom PCB</t>
  </si>
  <si>
    <t>Unit Cost</t>
  </si>
  <si>
    <t>Mass (g) / Part</t>
  </si>
  <si>
    <t>Build Cost</t>
  </si>
  <si>
    <t>Total Estimated Cost</t>
  </si>
  <si>
    <t>Alternatives</t>
  </si>
  <si>
    <t>Shipping</t>
  </si>
  <si>
    <t>Tool</t>
  </si>
  <si>
    <t>Chatterbox</t>
  </si>
  <si>
    <t xml:space="preserve"> V1.0.0</t>
  </si>
  <si>
    <t>Main PCB</t>
  </si>
  <si>
    <t>Main PCB board</t>
  </si>
  <si>
    <t>Secondary PCB</t>
  </si>
  <si>
    <t>Secondary PCB board</t>
  </si>
  <si>
    <t>LED PCB</t>
  </si>
  <si>
    <t>Boards for LEDs</t>
  </si>
  <si>
    <t>Micro Controller (Seeeduino Nano)</t>
  </si>
  <si>
    <t>Audio Amplifier (Pam8302)</t>
  </si>
  <si>
    <t>Mono Speaker (4Ω 3W )</t>
  </si>
  <si>
    <t>Audio Potentiometer</t>
  </si>
  <si>
    <t xml:space="preserve">Micro SD Reader </t>
  </si>
  <si>
    <t>Micro SD Card</t>
  </si>
  <si>
    <t>Microphone (MAX9814)</t>
  </si>
  <si>
    <t>Buttons (B3F-5050)</t>
  </si>
  <si>
    <t>3.5 mm Mono Jack</t>
  </si>
  <si>
    <t>Blue LED</t>
  </si>
  <si>
    <t>9V Battery Clip</t>
  </si>
  <si>
    <t>#4 Sheet Metal Screw</t>
  </si>
  <si>
    <t>Ribbon Cable</t>
  </si>
  <si>
    <t>Ribbon Cable Header</t>
  </si>
  <si>
    <t>Resistor (2.2k Ω)</t>
  </si>
  <si>
    <t>Slide switch (SPST)</t>
  </si>
  <si>
    <t>Slide switch (SPDT)</t>
  </si>
  <si>
    <t>Digikey</t>
  </si>
  <si>
    <t>Seeed Technology, Ltd.</t>
  </si>
  <si>
    <t>Adafruit Industries LLC</t>
  </si>
  <si>
    <t>Same Sky (Formerly CUI Devices)</t>
  </si>
  <si>
    <t>Omron Electronics Inc-EMC Div</t>
  </si>
  <si>
    <t>C&amp;K</t>
  </si>
  <si>
    <t>Wurth Elektronik</t>
  </si>
  <si>
    <t>Stackpole Electronics Inc</t>
  </si>
  <si>
    <t>5 pin female header</t>
  </si>
  <si>
    <t>15 pin female header</t>
  </si>
  <si>
    <t>8 pin female header</t>
  </si>
  <si>
    <t>Sullins Connector Solutions</t>
  </si>
  <si>
    <t>Duracell Industrial Corporation, Inc.</t>
  </si>
  <si>
    <t>Keystone Electronics</t>
  </si>
  <si>
    <t>Serpac</t>
  </si>
  <si>
    <t>#4 x 3/8" pan head, Phillips drive</t>
  </si>
  <si>
    <t>Assmann WSW Components</t>
  </si>
  <si>
    <t>Amphenol ICC (FCI)</t>
  </si>
  <si>
    <t>Enclosure Top - Right</t>
  </si>
  <si>
    <t>Enclosure Bottom - Left</t>
  </si>
  <si>
    <t>Enclosure Bottom - Right</t>
  </si>
  <si>
    <t>Enclosure Top - Left</t>
  </si>
  <si>
    <t>Label Holder</t>
  </si>
  <si>
    <t>Button Base</t>
  </si>
  <si>
    <t>Button Cap</t>
  </si>
  <si>
    <t>Button Insert</t>
  </si>
  <si>
    <t>Centre Support</t>
  </si>
  <si>
    <t>Battery Cover</t>
  </si>
  <si>
    <t>31m (each)</t>
  </si>
  <si>
    <t>22m (each)</t>
  </si>
  <si>
    <t>Soldering Iron</t>
  </si>
  <si>
    <t>60Pb/40Tn Solder Wire</t>
  </si>
  <si>
    <t>Needle Nose Pliers</t>
  </si>
  <si>
    <t>Flush Cutters</t>
  </si>
  <si>
    <t>Desolder Pump (Optional)</t>
  </si>
  <si>
    <t>Wire strippers</t>
  </si>
  <si>
    <t>24 gauge wire</t>
  </si>
  <si>
    <t>TE Connectivity Raychem Cable Protection</t>
  </si>
  <si>
    <t>May be useful to buy two colours</t>
  </si>
  <si>
    <t>TDK Corporation</t>
  </si>
  <si>
    <t>Volume Knob</t>
  </si>
  <si>
    <t>13m</t>
  </si>
  <si>
    <t>Capacitor, 10 uF</t>
  </si>
  <si>
    <t>Model</t>
  </si>
  <si>
    <t>FG24X7R1A106KRT06</t>
  </si>
  <si>
    <t>Battery, 9V</t>
  </si>
  <si>
    <t>https://www.digikey.ca/en/products/detail/seeed-technology-co-ltd/102010268/10290292</t>
  </si>
  <si>
    <t>https://www.digikey.ca/en/products/detail/adafruit-industries-llc/2130/5761279</t>
  </si>
  <si>
    <t>https://www.digikey.ca/en/products/detail/cui-devices/PTN16-A10125K1A2/20380750</t>
  </si>
  <si>
    <t>https://www.digikey.ca/en/products/detail/adafruit-industries-llc/254/5761230</t>
  </si>
  <si>
    <t>https://www.digikey.ca/en/products/detail/adafruit-industries-llc/5252/15841478</t>
  </si>
  <si>
    <t>https://www.digikey.ca/en/products/detail/adafruit-industries-llc/1713/4990777</t>
  </si>
  <si>
    <t>https://www.digikey.ca/en/products/detail/omron-electronics-inc-emc-div/B3F-5050/368377</t>
  </si>
  <si>
    <t>https://www.digikey.ca/en/products/detail/c-k/os102011ma1qs1/1981431</t>
  </si>
  <si>
    <t>https://www.digikey.ca/en/products/detail/cui-devices/SJ1-3535NG/738699</t>
  </si>
  <si>
    <t>https://www.digikey.ca/en/products/detail/w%C3%BCrth-elektronik/151051BS04000/4490009</t>
  </si>
  <si>
    <t>https://www.digikey.ca/en/products/detail/stackpole-electronics-inc/CF18JT2K20/1741619</t>
  </si>
  <si>
    <t>https://www.digikey.ca/en/products/detail/sullins-connector-solutions/PPTC051LFBN-RC/807239</t>
  </si>
  <si>
    <t>https://www.digikey.ca/en/products/detail/sullins-connector-solutions/PPTC151LFBN-RC/810153</t>
  </si>
  <si>
    <t>https://www.digikey.ca/en/products/detail/duracell-industrial-operations-inc/9V/21259959</t>
  </si>
  <si>
    <t>https://www.digikey.ca/en/products/detail/tdk-corporation/FG24X7R1A106KRT06/5802984</t>
  </si>
  <si>
    <t>https://www.digikey.ca/en/products/detail/keystone-electronics/232/303804</t>
  </si>
  <si>
    <t>https://www.digikey.ca/en/products/detail/serpac/6005/307599</t>
  </si>
  <si>
    <t>https://www.digikey.ca/en/products/detail/assmann-wsw-components/H3DDS-1006G/1218627</t>
  </si>
  <si>
    <t>https://www.digikey.ca/en/products/detail/amphenol-cs-fci/86130101014345E1LF/7592367</t>
  </si>
  <si>
    <t>https://www.digikey.ca/en/products/detail/c-k/os103011ma7qp1/1981432</t>
  </si>
  <si>
    <t>https://www.digikey.ca/en/products/detail/te-connectivity-raychem-cable-protection/55A0111-24-9/2399803</t>
  </si>
  <si>
    <t>https://www.digikey.ca/en/products/detail/sullins-connector-solutions/PPTC081LFBN-RC/810147</t>
  </si>
  <si>
    <t>27m</t>
  </si>
  <si>
    <t>37m (each)</t>
  </si>
  <si>
    <t>28m (each)</t>
  </si>
  <si>
    <t>47m (each)</t>
  </si>
  <si>
    <t>2h44m</t>
  </si>
  <si>
    <t>2h29m</t>
  </si>
  <si>
    <t>2h14m</t>
  </si>
  <si>
    <t>2h6m</t>
  </si>
  <si>
    <t>Slide Switch Cover</t>
  </si>
  <si>
    <t>Slide Switch Cover Pin</t>
  </si>
  <si>
    <t>9m (each)</t>
  </si>
  <si>
    <t>7m (each)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</si>
</sst>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(&quot;$&quot;* #,##0.00_);_(&quot;$&quot;* \(#,##0.00\);_(&quot;$&quot;* &quot;-&quot;??_);_(@_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8"/>
      <color theme="1"/>
      <name val="Roboto Black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/>
      <bottom/>
      <diagonal/>
    </border>
  </borders>
  <cellStyleXfs count="15">
    <xf numFmtId="0" fontId="0" fillId="0" borderId="0"/>
    <xf numFmtId="0" fontId="3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3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7" fillId="0" borderId="0" applyNumberFormat="0" applyFill="0" applyBorder="0" applyAlignment="0" applyProtection="0"/>
  </cellStyleXfs>
  <cellXfs count="76">
    <xf numFmtId="0" fontId="0" fillId="0" borderId="0" xfId="0"/>
    <xf numFmtId="0" fontId="2" fillId="0" borderId="0" xfId="0" applyFont="1"/>
    <xf numFmtId="0" fontId="4" fillId="0" borderId="0" xfId="0" applyFont="1" applyAlignment="1">
      <alignment horizontal="left"/>
    </xf>
    <xf numFmtId="0" fontId="0" fillId="0" borderId="4" xfId="0" applyBorder="1"/>
    <xf numFmtId="0" fontId="2" fillId="0" borderId="4" xfId="0" applyFont="1" applyBorder="1"/>
    <xf numFmtId="0" fontId="1" fillId="7" borderId="5" xfId="6" applyBorder="1"/>
    <xf numFmtId="0" fontId="1" fillId="7" borderId="0" xfId="6"/>
    <xf numFmtId="44" fontId="1" fillId="7" borderId="5" xfId="6" applyNumberFormat="1" applyBorder="1"/>
    <xf numFmtId="0" fontId="1" fillId="7" borderId="1" xfId="6" applyBorder="1"/>
    <xf numFmtId="44" fontId="1" fillId="4" borderId="1" xfId="3" applyNumberFormat="1" applyBorder="1"/>
    <xf numFmtId="0" fontId="1" fillId="4" borderId="1" xfId="3" applyBorder="1"/>
    <xf numFmtId="44" fontId="1" fillId="14" borderId="1" xfId="13" applyNumberFormat="1" applyBorder="1"/>
    <xf numFmtId="0" fontId="1" fillId="14" borderId="1" xfId="13" applyBorder="1"/>
    <xf numFmtId="44" fontId="1" fillId="13" borderId="2" xfId="12" applyNumberFormat="1" applyBorder="1"/>
    <xf numFmtId="0" fontId="1" fillId="9" borderId="1" xfId="8" applyBorder="1"/>
    <xf numFmtId="0" fontId="1" fillId="3" borderId="2" xfId="2" applyBorder="1"/>
    <xf numFmtId="0" fontId="1" fillId="13" borderId="2" xfId="12" applyBorder="1"/>
    <xf numFmtId="0" fontId="1" fillId="11" borderId="2" xfId="10" applyBorder="1"/>
    <xf numFmtId="0" fontId="1" fillId="8" borderId="2" xfId="7" applyBorder="1"/>
    <xf numFmtId="0" fontId="1" fillId="6" borderId="6" xfId="5" applyBorder="1"/>
    <xf numFmtId="44" fontId="1" fillId="6" borderId="6" xfId="5" applyNumberFormat="1" applyBorder="1"/>
    <xf numFmtId="0" fontId="1" fillId="3" borderId="6" xfId="2" applyBorder="1"/>
    <xf numFmtId="44" fontId="1" fillId="3" borderId="6" xfId="2" applyNumberFormat="1" applyBorder="1"/>
    <xf numFmtId="0" fontId="1" fillId="13" borderId="6" xfId="12" applyBorder="1"/>
    <xf numFmtId="44" fontId="1" fillId="13" borderId="6" xfId="12" applyNumberFormat="1" applyBorder="1"/>
    <xf numFmtId="0" fontId="1" fillId="11" borderId="6" xfId="10" applyBorder="1"/>
    <xf numFmtId="0" fontId="1" fillId="12" borderId="7" xfId="11" applyBorder="1"/>
    <xf numFmtId="0" fontId="1" fillId="8" borderId="6" xfId="7" applyBorder="1"/>
    <xf numFmtId="0" fontId="1" fillId="4" borderId="9" xfId="3" applyBorder="1"/>
    <xf numFmtId="0" fontId="1" fillId="4" borderId="10" xfId="3" applyBorder="1"/>
    <xf numFmtId="0" fontId="1" fillId="4" borderId="12" xfId="3" applyBorder="1"/>
    <xf numFmtId="0" fontId="1" fillId="3" borderId="8" xfId="2" applyBorder="1"/>
    <xf numFmtId="0" fontId="1" fillId="14" borderId="9" xfId="13" applyBorder="1"/>
    <xf numFmtId="0" fontId="1" fillId="14" borderId="10" xfId="13" applyBorder="1"/>
    <xf numFmtId="44" fontId="1" fillId="14" borderId="10" xfId="13" applyNumberFormat="1" applyBorder="1"/>
    <xf numFmtId="0" fontId="1" fillId="14" borderId="11" xfId="13" applyBorder="1"/>
    <xf numFmtId="0" fontId="1" fillId="14" borderId="12" xfId="13" applyBorder="1"/>
    <xf numFmtId="0" fontId="1" fillId="13" borderId="8" xfId="12" applyBorder="1"/>
    <xf numFmtId="0" fontId="1" fillId="12" borderId="9" xfId="11" applyBorder="1"/>
    <xf numFmtId="0" fontId="1" fillId="12" borderId="10" xfId="11" applyBorder="1"/>
    <xf numFmtId="44" fontId="1" fillId="12" borderId="10" xfId="11" applyNumberFormat="1" applyBorder="1"/>
    <xf numFmtId="0" fontId="1" fillId="12" borderId="11" xfId="11" applyBorder="1"/>
    <xf numFmtId="0" fontId="1" fillId="12" borderId="12" xfId="11" applyBorder="1"/>
    <xf numFmtId="0" fontId="1" fillId="11" borderId="8" xfId="10" applyBorder="1"/>
    <xf numFmtId="0" fontId="1" fillId="9" borderId="9" xfId="8" applyBorder="1"/>
    <xf numFmtId="0" fontId="1" fillId="9" borderId="14" xfId="8" applyBorder="1"/>
    <xf numFmtId="0" fontId="1" fillId="9" borderId="12" xfId="8" applyBorder="1"/>
    <xf numFmtId="0" fontId="2" fillId="7" borderId="5" xfId="6" applyFont="1" applyBorder="1"/>
    <xf numFmtId="0" fontId="2" fillId="4" borderId="1" xfId="3" applyFont="1" applyBorder="1"/>
    <xf numFmtId="0" fontId="2" fillId="14" borderId="1" xfId="13" applyFont="1" applyBorder="1"/>
    <xf numFmtId="0" fontId="2" fillId="12" borderId="1" xfId="11" applyFont="1" applyBorder="1"/>
    <xf numFmtId="0" fontId="2" fillId="9" borderId="13" xfId="8" applyFont="1" applyBorder="1"/>
    <xf numFmtId="0" fontId="5" fillId="0" borderId="0" xfId="0" applyFont="1"/>
    <xf numFmtId="0" fontId="5" fillId="10" borderId="3" xfId="9" applyFont="1" applyBorder="1"/>
    <xf numFmtId="0" fontId="6" fillId="2" borderId="0" xfId="1" applyFont="1"/>
    <xf numFmtId="0" fontId="5" fillId="0" borderId="4" xfId="0" applyFont="1" applyBorder="1"/>
    <xf numFmtId="44" fontId="5" fillId="10" borderId="5" xfId="9" applyNumberFormat="1" applyFont="1" applyBorder="1"/>
    <xf numFmtId="164" fontId="5" fillId="2" borderId="4" xfId="1" applyNumberFormat="1" applyFont="1" applyBorder="1"/>
    <xf numFmtId="0" fontId="1" fillId="5" borderId="3" xfId="4" applyBorder="1"/>
    <xf numFmtId="0" fontId="1" fillId="5" borderId="5" xfId="4" applyBorder="1"/>
    <xf numFmtId="44" fontId="1" fillId="7" borderId="1" xfId="6" applyNumberFormat="1" applyBorder="1"/>
    <xf numFmtId="0" fontId="1" fillId="12" borderId="1" xfId="11" applyBorder="1"/>
    <xf numFmtId="0" fontId="1" fillId="9" borderId="10" xfId="8" applyBorder="1"/>
    <xf numFmtId="0" fontId="1" fillId="9" borderId="11" xfId="8" applyBorder="1"/>
    <xf numFmtId="0" fontId="1" fillId="15" borderId="8" xfId="12" applyFill="1" applyBorder="1"/>
    <xf numFmtId="44" fontId="1" fillId="15" borderId="8" xfId="12" applyNumberFormat="1" applyFill="1" applyBorder="1"/>
    <xf numFmtId="0" fontId="0" fillId="15" borderId="4" xfId="0" applyFill="1" applyBorder="1"/>
    <xf numFmtId="14" fontId="0" fillId="0" borderId="4" xfId="0" applyNumberFormat="1" applyBorder="1"/>
    <xf numFmtId="0" fontId="1" fillId="16" borderId="6" xfId="5" applyFill="1" applyBorder="1"/>
    <xf numFmtId="0" fontId="0" fillId="17" borderId="2" xfId="0" applyFill="1" applyBorder="1"/>
    <xf numFmtId="44" fontId="1" fillId="16" borderId="6" xfId="5" applyNumberFormat="1" applyFill="1" applyBorder="1"/>
    <xf numFmtId="0" fontId="0" fillId="17" borderId="8" xfId="0" applyFill="1" applyBorder="1"/>
    <xf numFmtId="0" fontId="1" fillId="7" borderId="3" xfId="6" applyBorder="1"/>
    <xf numFmtId="0" fontId="1" fillId="4" borderId="15" xfId="3" applyBorder="1"/>
    <xf numFmtId="0" fontId="7" fillId="16" borderId="2" xfId="14" applyFill="1" applyBorder="1"/>
    <xf numFmtId="0" fontId="4" fillId="0" borderId="0" xfId="0" applyFont="1" applyAlignment="1">
      <alignment horizontal="left"/>
    </xf>
  </cellXfs>
  <cellStyles count="15">
    <cellStyle name="20% - Accent1" xfId="2" builtinId="30"/>
    <cellStyle name="20% - Accent2" xfId="5" builtinId="34"/>
    <cellStyle name="20% - Accent3" xfId="7" builtinId="38"/>
    <cellStyle name="20% - Accent4" xfId="10" builtinId="42"/>
    <cellStyle name="20% - Accent6" xfId="12" builtinId="50"/>
    <cellStyle name="40% - Accent1" xfId="3" builtinId="31"/>
    <cellStyle name="40% - Accent2" xfId="6" builtinId="35"/>
    <cellStyle name="40% - Accent3" xfId="8" builtinId="39"/>
    <cellStyle name="40% - Accent4" xfId="11" builtinId="43"/>
    <cellStyle name="40% - Accent6" xfId="13" builtinId="51"/>
    <cellStyle name="60% - Accent1" xfId="4" builtinId="32"/>
    <cellStyle name="Accent2" xfId="1" builtinId="33"/>
    <cellStyle name="Accent4" xfId="9" builtinId="41"/>
    <cellStyle name="Hyperlink" xfId="14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a/en/products/detail/cui-devices/SJ1-3535NG/738699" TargetMode="External"/><Relationship Id="rId13" Type="http://schemas.openxmlformats.org/officeDocument/2006/relationships/hyperlink" Target="https://www.digikey.ca/en/products/detail/duracell-industrial-operations-inc/9V/21259959" TargetMode="External"/><Relationship Id="rId18" Type="http://schemas.openxmlformats.org/officeDocument/2006/relationships/hyperlink" Target="https://www.digikey.ca/en/products/detail/amphenol-cs-fci/86130101014345E1LF/7592367" TargetMode="External"/><Relationship Id="rId3" Type="http://schemas.openxmlformats.org/officeDocument/2006/relationships/hyperlink" Target="https://www.digikey.ca/en/products/detail/adafruit-industries-llc/254/5761230" TargetMode="External"/><Relationship Id="rId21" Type="http://schemas.openxmlformats.org/officeDocument/2006/relationships/hyperlink" Target="https://www.digikey.ca/en/products/detail/sullins-connector-solutions/PPTC081LFBN-RC/810147" TargetMode="External"/><Relationship Id="rId7" Type="http://schemas.openxmlformats.org/officeDocument/2006/relationships/hyperlink" Target="https://www.digikey.ca/en/products/detail/c-k/os102011ma1qs1/1981431" TargetMode="External"/><Relationship Id="rId12" Type="http://schemas.openxmlformats.org/officeDocument/2006/relationships/hyperlink" Target="https://www.digikey.ca/en/products/detail/sullins-connector-solutions/PPTC151LFBN-RC/810153" TargetMode="External"/><Relationship Id="rId17" Type="http://schemas.openxmlformats.org/officeDocument/2006/relationships/hyperlink" Target="https://www.digikey.ca/en/products/detail/assmann-wsw-components/H3DDS-1006G/1218627" TargetMode="External"/><Relationship Id="rId2" Type="http://schemas.openxmlformats.org/officeDocument/2006/relationships/hyperlink" Target="https://www.digikey.ca/en/products/detail/cui-devices/PTN16-A10125K1A2/20380750" TargetMode="External"/><Relationship Id="rId16" Type="http://schemas.openxmlformats.org/officeDocument/2006/relationships/hyperlink" Target="https://www.digikey.ca/en/products/detail/serpac/6005/307599" TargetMode="External"/><Relationship Id="rId20" Type="http://schemas.openxmlformats.org/officeDocument/2006/relationships/hyperlink" Target="https://www.digikey.ca/en/products/detail/te-connectivity-raychem-cable-protection/55A0111-24-9/2399803" TargetMode="External"/><Relationship Id="rId1" Type="http://schemas.openxmlformats.org/officeDocument/2006/relationships/hyperlink" Target="https://www.digikey.ca/en/products/detail/adafruit-industries-llc/2130/5761279" TargetMode="External"/><Relationship Id="rId6" Type="http://schemas.openxmlformats.org/officeDocument/2006/relationships/hyperlink" Target="https://www.digikey.ca/en/products/detail/omron-electronics-inc-emc-div/B3F-5050/368377" TargetMode="External"/><Relationship Id="rId11" Type="http://schemas.openxmlformats.org/officeDocument/2006/relationships/hyperlink" Target="https://www.digikey.ca/en/products/detail/sullins-connector-solutions/PPTC051LFBN-RC/807239" TargetMode="External"/><Relationship Id="rId5" Type="http://schemas.openxmlformats.org/officeDocument/2006/relationships/hyperlink" Target="https://www.digikey.ca/en/products/detail/adafruit-industries-llc/1713/4990777" TargetMode="External"/><Relationship Id="rId15" Type="http://schemas.openxmlformats.org/officeDocument/2006/relationships/hyperlink" Target="https://www.digikey.ca/en/products/detail/keystone-electronics/232/303804" TargetMode="External"/><Relationship Id="rId10" Type="http://schemas.openxmlformats.org/officeDocument/2006/relationships/hyperlink" Target="https://www.digikey.ca/en/products/detail/stackpole-electronics-inc/CF18JT2K20/1741619" TargetMode="External"/><Relationship Id="rId19" Type="http://schemas.openxmlformats.org/officeDocument/2006/relationships/hyperlink" Target="https://www.digikey.ca/en/products/detail/c-k/os103011ma7qp1/1981432" TargetMode="External"/><Relationship Id="rId4" Type="http://schemas.openxmlformats.org/officeDocument/2006/relationships/hyperlink" Target="https://www.digikey.ca/en/products/detail/adafruit-industries-llc/5252/15841478" TargetMode="External"/><Relationship Id="rId9" Type="http://schemas.openxmlformats.org/officeDocument/2006/relationships/hyperlink" Target="https://www.digikey.ca/en/products/detail/w%C3%BCrth-elektronik/151051BS04000/4490009" TargetMode="External"/><Relationship Id="rId14" Type="http://schemas.openxmlformats.org/officeDocument/2006/relationships/hyperlink" Target="https://www.digikey.ca/en/products/detail/tdk-corporation/FG24X7R1A106KRT06/5802984" TargetMode="External"/><Relationship Id="rId22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E8AD1-7DB5-46E4-9BCF-A08DFBDA7B00}">
  <dimension ref="A1:N74"/>
  <sheetViews>
    <sheetView tabSelected="1" workbookViewId="0">
      <selection activeCell="L38" sqref="L38"/>
    </sheetView>
  </sheetViews>
  <sheetFormatPr defaultRowHeight="14.4" x14ac:dyDescent="0.3"/>
  <cols>
    <col min="1" max="1" width="19.33203125" customWidth="1"/>
    <col min="2" max="2" width="32.6640625" bestFit="1" customWidth="1"/>
    <col min="3" max="3" width="21.44140625" bestFit="1" customWidth="1"/>
    <col min="4" max="4" width="12.88671875" customWidth="1"/>
    <col min="5" max="5" width="13.109375" bestFit="1" customWidth="1"/>
    <col min="6" max="6" width="8.44140625" bestFit="1" customWidth="1"/>
    <col min="7" max="7" width="12.109375" bestFit="1" customWidth="1"/>
    <col min="8" max="8" width="13.6640625" bestFit="1" customWidth="1"/>
    <col min="9" max="9" width="15.88671875" customWidth="1"/>
    <col min="10" max="10" width="8" bestFit="1" customWidth="1"/>
    <col min="11" max="11" width="9.6640625" bestFit="1" customWidth="1"/>
    <col min="12" max="12" width="20.44140625" customWidth="1"/>
    <col min="13" max="13" width="17.33203125" customWidth="1"/>
    <col min="14" max="14" width="17.44140625" bestFit="1" customWidth="1"/>
  </cols>
  <sheetData>
    <row r="1" spans="1:14" ht="36" x14ac:dyDescent="0.65">
      <c r="A1" s="2" t="s">
        <v>8</v>
      </c>
      <c r="B1" s="75" t="s">
        <v>33</v>
      </c>
      <c r="C1" s="75"/>
      <c r="D1" s="75"/>
      <c r="E1" s="75"/>
      <c r="F1" s="75"/>
      <c r="G1" s="75"/>
      <c r="H1" s="75"/>
      <c r="I1" s="75"/>
      <c r="J1" s="75"/>
    </row>
    <row r="2" spans="1:14" x14ac:dyDescent="0.3">
      <c r="A2" s="1" t="s">
        <v>7</v>
      </c>
      <c r="B2" t="s">
        <v>34</v>
      </c>
    </row>
    <row r="3" spans="1:14" s="3" customFormat="1" ht="15" thickBot="1" x14ac:dyDescent="0.35">
      <c r="A3" s="4" t="s">
        <v>6</v>
      </c>
      <c r="B3" s="67">
        <v>45926</v>
      </c>
    </row>
    <row r="4" spans="1:14" x14ac:dyDescent="0.3">
      <c r="I4" s="58" t="s">
        <v>0</v>
      </c>
      <c r="J4" s="52"/>
      <c r="K4" s="53" t="s">
        <v>26</v>
      </c>
      <c r="L4" s="54" t="s">
        <v>29</v>
      </c>
      <c r="M4" t="s">
        <v>28</v>
      </c>
    </row>
    <row r="5" spans="1:14" s="3" customFormat="1" ht="15" thickBot="1" x14ac:dyDescent="0.35">
      <c r="C5" s="4"/>
      <c r="D5" s="4"/>
      <c r="E5" s="4"/>
      <c r="F5" s="4"/>
      <c r="I5" s="59">
        <f>SUM(H40:H45)</f>
        <v>391</v>
      </c>
      <c r="J5" s="55"/>
      <c r="K5" s="56">
        <f>K6+K31+K38</f>
        <v>134.31899999999999</v>
      </c>
      <c r="L5" s="57">
        <f>L6+L31+L38</f>
        <v>167.33</v>
      </c>
    </row>
    <row r="6" spans="1:14" ht="15" thickBot="1" x14ac:dyDescent="0.35">
      <c r="A6" s="5" t="s">
        <v>5</v>
      </c>
      <c r="B6" s="47" t="s">
        <v>4</v>
      </c>
      <c r="C6" s="6"/>
      <c r="D6" s="6"/>
      <c r="E6" s="6"/>
      <c r="F6" s="6"/>
      <c r="G6" s="6"/>
      <c r="H6" s="6"/>
      <c r="I6" s="6"/>
      <c r="J6" s="6"/>
      <c r="K6" s="60">
        <f>SUM(K8:K30)</f>
        <v>109.86899999999999</v>
      </c>
      <c r="L6" s="7">
        <f>SUM(L8:L30)</f>
        <v>110.87999999999998</v>
      </c>
      <c r="M6" s="6"/>
      <c r="N6" s="6"/>
    </row>
    <row r="7" spans="1:14" ht="15" thickBot="1" x14ac:dyDescent="0.35">
      <c r="A7" s="8"/>
      <c r="B7" s="8" t="s">
        <v>2</v>
      </c>
      <c r="C7" s="8" t="s">
        <v>3</v>
      </c>
      <c r="D7" s="8" t="s">
        <v>101</v>
      </c>
      <c r="E7" s="8" t="s">
        <v>9</v>
      </c>
      <c r="F7" s="8" t="s">
        <v>10</v>
      </c>
      <c r="G7" s="8" t="s">
        <v>14</v>
      </c>
      <c r="H7" s="8" t="s">
        <v>11</v>
      </c>
      <c r="I7" s="8" t="s">
        <v>12</v>
      </c>
      <c r="J7" s="8" t="s">
        <v>13</v>
      </c>
      <c r="K7" s="8" t="s">
        <v>15</v>
      </c>
      <c r="L7" s="8" t="s">
        <v>29</v>
      </c>
      <c r="M7" s="8"/>
      <c r="N7" s="72" t="s">
        <v>1</v>
      </c>
    </row>
    <row r="8" spans="1:14" x14ac:dyDescent="0.3">
      <c r="A8" s="19"/>
      <c r="B8" s="19" t="s">
        <v>41</v>
      </c>
      <c r="C8" s="19"/>
      <c r="D8" s="19"/>
      <c r="E8" s="19" t="s">
        <v>59</v>
      </c>
      <c r="F8" s="19" t="s">
        <v>58</v>
      </c>
      <c r="G8" s="19">
        <v>1</v>
      </c>
      <c r="H8" s="19">
        <v>1</v>
      </c>
      <c r="I8" s="19">
        <f t="shared" ref="I8" si="0">IF(G8&gt;0,CEILING(G8/H8,1),0)</f>
        <v>1</v>
      </c>
      <c r="J8" s="20">
        <v>11.07</v>
      </c>
      <c r="K8" s="20">
        <f t="shared" ref="K8:K30" si="1">IF(G8&gt;0,J8/H8*G8,0)</f>
        <v>11.07</v>
      </c>
      <c r="L8" s="20">
        <f t="shared" ref="L8:L30" si="2">I8*J8</f>
        <v>11.07</v>
      </c>
      <c r="M8" s="70"/>
      <c r="N8" s="74" t="s">
        <v>104</v>
      </c>
    </row>
    <row r="9" spans="1:14" x14ac:dyDescent="0.3">
      <c r="A9" s="19"/>
      <c r="B9" s="19" t="s">
        <v>42</v>
      </c>
      <c r="C9" s="19"/>
      <c r="D9" s="19"/>
      <c r="E9" s="19" t="s">
        <v>60</v>
      </c>
      <c r="F9" s="19" t="s">
        <v>58</v>
      </c>
      <c r="G9" s="19">
        <v>1</v>
      </c>
      <c r="H9" s="19">
        <v>1</v>
      </c>
      <c r="I9" s="19">
        <v>1</v>
      </c>
      <c r="J9" s="20">
        <v>6.13</v>
      </c>
      <c r="K9" s="20">
        <f t="shared" si="1"/>
        <v>6.13</v>
      </c>
      <c r="L9" s="20">
        <f t="shared" si="2"/>
        <v>6.13</v>
      </c>
      <c r="M9" s="68"/>
      <c r="N9" s="74" t="s">
        <v>105</v>
      </c>
    </row>
    <row r="10" spans="1:14" x14ac:dyDescent="0.3">
      <c r="A10" s="19"/>
      <c r="B10" s="19" t="s">
        <v>43</v>
      </c>
      <c r="C10" s="19"/>
      <c r="D10" s="19"/>
      <c r="E10" s="19" t="s">
        <v>60</v>
      </c>
      <c r="F10" s="19" t="s">
        <v>58</v>
      </c>
      <c r="G10" s="19">
        <v>1</v>
      </c>
      <c r="H10" s="19">
        <v>1</v>
      </c>
      <c r="I10" s="19">
        <v>1</v>
      </c>
      <c r="J10" s="20">
        <v>6.13</v>
      </c>
      <c r="K10" s="20">
        <f t="shared" si="1"/>
        <v>6.13</v>
      </c>
      <c r="L10" s="20">
        <f t="shared" si="2"/>
        <v>6.13</v>
      </c>
      <c r="M10" s="68"/>
      <c r="N10" s="74" t="s">
        <v>105</v>
      </c>
    </row>
    <row r="11" spans="1:14" x14ac:dyDescent="0.3">
      <c r="A11" s="19"/>
      <c r="B11" s="19" t="s">
        <v>44</v>
      </c>
      <c r="C11" s="19"/>
      <c r="D11" s="19"/>
      <c r="E11" s="19" t="s">
        <v>61</v>
      </c>
      <c r="F11" s="19" t="s">
        <v>58</v>
      </c>
      <c r="G11" s="19">
        <v>1</v>
      </c>
      <c r="H11" s="19">
        <v>1</v>
      </c>
      <c r="I11" s="19">
        <v>1</v>
      </c>
      <c r="J11" s="20">
        <v>2.65</v>
      </c>
      <c r="K11" s="20">
        <f t="shared" si="1"/>
        <v>2.65</v>
      </c>
      <c r="L11" s="20">
        <f t="shared" si="2"/>
        <v>2.65</v>
      </c>
      <c r="M11" s="68"/>
      <c r="N11" s="74" t="s">
        <v>106</v>
      </c>
    </row>
    <row r="12" spans="1:14" x14ac:dyDescent="0.3">
      <c r="A12" s="19"/>
      <c r="B12" s="19" t="s">
        <v>45</v>
      </c>
      <c r="C12" s="19"/>
      <c r="D12" s="19"/>
      <c r="E12" s="19" t="s">
        <v>60</v>
      </c>
      <c r="F12" s="19" t="s">
        <v>58</v>
      </c>
      <c r="G12" s="19">
        <v>1</v>
      </c>
      <c r="H12" s="19">
        <v>1</v>
      </c>
      <c r="I12" s="19">
        <v>1</v>
      </c>
      <c r="J12" s="20">
        <v>10.93</v>
      </c>
      <c r="K12" s="20">
        <f t="shared" si="1"/>
        <v>10.93</v>
      </c>
      <c r="L12" s="20">
        <f t="shared" si="2"/>
        <v>10.93</v>
      </c>
      <c r="M12" s="68"/>
      <c r="N12" s="74" t="s">
        <v>107</v>
      </c>
    </row>
    <row r="13" spans="1:14" x14ac:dyDescent="0.3">
      <c r="A13" s="19"/>
      <c r="B13" s="19" t="s">
        <v>46</v>
      </c>
      <c r="C13" s="19"/>
      <c r="D13" s="19"/>
      <c r="E13" s="19" t="s">
        <v>60</v>
      </c>
      <c r="F13" s="19" t="s">
        <v>58</v>
      </c>
      <c r="G13" s="19">
        <v>1</v>
      </c>
      <c r="H13" s="19">
        <v>1</v>
      </c>
      <c r="I13" s="19">
        <v>1</v>
      </c>
      <c r="J13" s="20">
        <v>7.69</v>
      </c>
      <c r="K13" s="20">
        <f t="shared" si="1"/>
        <v>7.69</v>
      </c>
      <c r="L13" s="20">
        <f t="shared" si="2"/>
        <v>7.69</v>
      </c>
      <c r="M13" s="68"/>
      <c r="N13" s="74" t="s">
        <v>108</v>
      </c>
    </row>
    <row r="14" spans="1:14" x14ac:dyDescent="0.3">
      <c r="A14" s="19"/>
      <c r="B14" s="19" t="s">
        <v>47</v>
      </c>
      <c r="C14" s="19"/>
      <c r="D14" s="19"/>
      <c r="E14" s="19" t="s">
        <v>60</v>
      </c>
      <c r="F14" s="19" t="s">
        <v>58</v>
      </c>
      <c r="G14" s="19">
        <v>1</v>
      </c>
      <c r="H14" s="19">
        <v>1</v>
      </c>
      <c r="I14" s="19">
        <v>1</v>
      </c>
      <c r="J14" s="20">
        <v>12.35</v>
      </c>
      <c r="K14" s="20">
        <f t="shared" si="1"/>
        <v>12.35</v>
      </c>
      <c r="L14" s="20">
        <f t="shared" si="2"/>
        <v>12.35</v>
      </c>
      <c r="M14" s="68"/>
      <c r="N14" s="74" t="s">
        <v>109</v>
      </c>
    </row>
    <row r="15" spans="1:14" x14ac:dyDescent="0.3">
      <c r="A15" s="19"/>
      <c r="B15" s="19" t="s">
        <v>48</v>
      </c>
      <c r="C15" s="19"/>
      <c r="D15" s="19"/>
      <c r="E15" s="19" t="s">
        <v>62</v>
      </c>
      <c r="F15" s="19" t="s">
        <v>58</v>
      </c>
      <c r="G15" s="19">
        <v>4</v>
      </c>
      <c r="H15" s="19">
        <v>1</v>
      </c>
      <c r="I15" s="19">
        <v>4</v>
      </c>
      <c r="J15" s="20">
        <v>0.56999999999999995</v>
      </c>
      <c r="K15" s="20">
        <f t="shared" si="1"/>
        <v>2.2799999999999998</v>
      </c>
      <c r="L15" s="20">
        <f t="shared" si="2"/>
        <v>2.2799999999999998</v>
      </c>
      <c r="M15" s="68"/>
      <c r="N15" s="74" t="s">
        <v>110</v>
      </c>
    </row>
    <row r="16" spans="1:14" x14ac:dyDescent="0.3">
      <c r="A16" s="19"/>
      <c r="B16" s="19" t="s">
        <v>56</v>
      </c>
      <c r="C16" s="19"/>
      <c r="D16" s="19"/>
      <c r="E16" s="19" t="s">
        <v>63</v>
      </c>
      <c r="F16" s="19" t="s">
        <v>58</v>
      </c>
      <c r="G16" s="19">
        <v>2</v>
      </c>
      <c r="H16" s="19">
        <v>1</v>
      </c>
      <c r="I16" s="19">
        <v>2</v>
      </c>
      <c r="J16" s="20">
        <v>0.95</v>
      </c>
      <c r="K16" s="20">
        <f t="shared" si="1"/>
        <v>1.9</v>
      </c>
      <c r="L16" s="20">
        <f t="shared" si="2"/>
        <v>1.9</v>
      </c>
      <c r="M16" s="68"/>
      <c r="N16" s="74" t="s">
        <v>111</v>
      </c>
    </row>
    <row r="17" spans="1:14" x14ac:dyDescent="0.3">
      <c r="A17" s="19"/>
      <c r="B17" s="19" t="s">
        <v>49</v>
      </c>
      <c r="C17" s="19"/>
      <c r="D17" s="19"/>
      <c r="E17" s="19" t="s">
        <v>61</v>
      </c>
      <c r="F17" s="19" t="s">
        <v>58</v>
      </c>
      <c r="G17" s="19">
        <v>2</v>
      </c>
      <c r="H17" s="19">
        <v>1</v>
      </c>
      <c r="I17" s="19">
        <v>2</v>
      </c>
      <c r="J17" s="20">
        <v>2.17</v>
      </c>
      <c r="K17" s="20">
        <f t="shared" si="1"/>
        <v>4.34</v>
      </c>
      <c r="L17" s="20">
        <f t="shared" si="2"/>
        <v>4.34</v>
      </c>
      <c r="M17" s="68"/>
      <c r="N17" s="74" t="s">
        <v>112</v>
      </c>
    </row>
    <row r="18" spans="1:14" x14ac:dyDescent="0.3">
      <c r="A18" s="19"/>
      <c r="B18" s="19" t="s">
        <v>50</v>
      </c>
      <c r="C18" s="19"/>
      <c r="D18" s="19"/>
      <c r="E18" s="19" t="s">
        <v>64</v>
      </c>
      <c r="F18" s="19" t="s">
        <v>58</v>
      </c>
      <c r="G18" s="19">
        <v>4</v>
      </c>
      <c r="H18" s="19">
        <v>1</v>
      </c>
      <c r="I18" s="19">
        <v>4</v>
      </c>
      <c r="J18" s="20">
        <v>0.37</v>
      </c>
      <c r="K18" s="20">
        <f t="shared" si="1"/>
        <v>1.48</v>
      </c>
      <c r="L18" s="20">
        <f t="shared" si="2"/>
        <v>1.48</v>
      </c>
      <c r="M18" s="68"/>
      <c r="N18" s="74" t="s">
        <v>113</v>
      </c>
    </row>
    <row r="19" spans="1:14" x14ac:dyDescent="0.3">
      <c r="A19" s="19"/>
      <c r="B19" s="19" t="s">
        <v>55</v>
      </c>
      <c r="C19" s="19"/>
      <c r="D19" s="19"/>
      <c r="E19" s="19" t="s">
        <v>65</v>
      </c>
      <c r="F19" s="19" t="s">
        <v>58</v>
      </c>
      <c r="G19" s="19">
        <v>12</v>
      </c>
      <c r="H19" s="19">
        <v>1</v>
      </c>
      <c r="I19" s="19">
        <v>12</v>
      </c>
      <c r="J19" s="20">
        <v>0.16</v>
      </c>
      <c r="K19" s="20">
        <f t="shared" si="1"/>
        <v>1.92</v>
      </c>
      <c r="L19" s="20">
        <f t="shared" si="2"/>
        <v>1.92</v>
      </c>
      <c r="M19" s="68"/>
      <c r="N19" s="74" t="s">
        <v>114</v>
      </c>
    </row>
    <row r="20" spans="1:14" x14ac:dyDescent="0.3">
      <c r="A20" s="19"/>
      <c r="B20" s="19" t="s">
        <v>66</v>
      </c>
      <c r="C20" s="19"/>
      <c r="D20" s="19"/>
      <c r="E20" s="19" t="s">
        <v>69</v>
      </c>
      <c r="F20" s="19" t="s">
        <v>58</v>
      </c>
      <c r="G20" s="19">
        <v>2</v>
      </c>
      <c r="H20" s="19">
        <v>1</v>
      </c>
      <c r="I20" s="19">
        <v>2</v>
      </c>
      <c r="J20" s="20">
        <v>0.55000000000000004</v>
      </c>
      <c r="K20" s="20">
        <f t="shared" si="1"/>
        <v>1.1000000000000001</v>
      </c>
      <c r="L20" s="20">
        <f t="shared" si="2"/>
        <v>1.1000000000000001</v>
      </c>
      <c r="M20" s="68"/>
      <c r="N20" s="74" t="s">
        <v>115</v>
      </c>
    </row>
    <row r="21" spans="1:14" x14ac:dyDescent="0.3">
      <c r="A21" s="19"/>
      <c r="B21" s="19" t="s">
        <v>67</v>
      </c>
      <c r="C21" s="19"/>
      <c r="D21" s="19"/>
      <c r="E21" s="19" t="s">
        <v>69</v>
      </c>
      <c r="F21" s="19" t="s">
        <v>58</v>
      </c>
      <c r="G21" s="19">
        <v>2</v>
      </c>
      <c r="H21" s="19">
        <v>1</v>
      </c>
      <c r="I21" s="19">
        <v>2</v>
      </c>
      <c r="J21" s="20">
        <v>1.19</v>
      </c>
      <c r="K21" s="20">
        <f t="shared" si="1"/>
        <v>2.38</v>
      </c>
      <c r="L21" s="20">
        <f t="shared" si="2"/>
        <v>2.38</v>
      </c>
      <c r="M21" s="68"/>
      <c r="N21" s="74" t="s">
        <v>116</v>
      </c>
    </row>
    <row r="22" spans="1:14" x14ac:dyDescent="0.3">
      <c r="A22" s="19"/>
      <c r="B22" s="19" t="s">
        <v>103</v>
      </c>
      <c r="C22" s="19"/>
      <c r="D22" s="19"/>
      <c r="E22" s="19" t="s">
        <v>70</v>
      </c>
      <c r="F22" s="19" t="s">
        <v>58</v>
      </c>
      <c r="G22" s="19">
        <v>1</v>
      </c>
      <c r="H22" s="19">
        <v>1</v>
      </c>
      <c r="I22" s="19">
        <v>1</v>
      </c>
      <c r="J22" s="20">
        <v>7.49</v>
      </c>
      <c r="K22" s="20">
        <f t="shared" si="1"/>
        <v>7.49</v>
      </c>
      <c r="L22" s="20">
        <f t="shared" si="2"/>
        <v>7.49</v>
      </c>
      <c r="M22" s="68"/>
      <c r="N22" s="74" t="s">
        <v>117</v>
      </c>
    </row>
    <row r="23" spans="1:14" x14ac:dyDescent="0.3">
      <c r="A23" s="19"/>
      <c r="B23" s="19" t="s">
        <v>100</v>
      </c>
      <c r="C23" s="19"/>
      <c r="D23" s="19" t="s">
        <v>102</v>
      </c>
      <c r="E23" s="19" t="s">
        <v>97</v>
      </c>
      <c r="F23" s="19" t="s">
        <v>58</v>
      </c>
      <c r="G23" s="19">
        <v>3</v>
      </c>
      <c r="H23" s="19">
        <v>1</v>
      </c>
      <c r="I23" s="19">
        <v>3</v>
      </c>
      <c r="J23" s="20">
        <v>0.5</v>
      </c>
      <c r="K23" s="20">
        <f t="shared" si="1"/>
        <v>1.5</v>
      </c>
      <c r="L23" s="20">
        <f t="shared" si="2"/>
        <v>1.5</v>
      </c>
      <c r="M23" s="68"/>
      <c r="N23" s="74" t="s">
        <v>118</v>
      </c>
    </row>
    <row r="24" spans="1:14" x14ac:dyDescent="0.3">
      <c r="A24" s="19"/>
      <c r="B24" s="19" t="s">
        <v>51</v>
      </c>
      <c r="C24" s="19"/>
      <c r="D24" s="19"/>
      <c r="E24" s="19" t="s">
        <v>71</v>
      </c>
      <c r="F24" s="19" t="s">
        <v>58</v>
      </c>
      <c r="G24" s="19">
        <v>1</v>
      </c>
      <c r="H24" s="19">
        <v>1</v>
      </c>
      <c r="I24" s="19">
        <v>1</v>
      </c>
      <c r="J24" s="20">
        <v>0.86</v>
      </c>
      <c r="K24" s="20">
        <f t="shared" si="1"/>
        <v>0.86</v>
      </c>
      <c r="L24" s="20">
        <f t="shared" si="2"/>
        <v>0.86</v>
      </c>
      <c r="M24" s="68"/>
      <c r="N24" s="74" t="s">
        <v>119</v>
      </c>
    </row>
    <row r="25" spans="1:14" x14ac:dyDescent="0.3">
      <c r="A25" s="19"/>
      <c r="B25" s="19" t="s">
        <v>52</v>
      </c>
      <c r="C25" s="19" t="s">
        <v>73</v>
      </c>
      <c r="D25" s="19"/>
      <c r="E25" s="19" t="s">
        <v>72</v>
      </c>
      <c r="F25" s="19" t="s">
        <v>58</v>
      </c>
      <c r="G25" s="19">
        <v>20</v>
      </c>
      <c r="H25" s="19">
        <v>1</v>
      </c>
      <c r="I25" s="19">
        <v>20</v>
      </c>
      <c r="J25" s="20">
        <v>0.61</v>
      </c>
      <c r="K25" s="20">
        <f t="shared" si="1"/>
        <v>12.2</v>
      </c>
      <c r="L25" s="20">
        <f t="shared" si="2"/>
        <v>12.2</v>
      </c>
      <c r="M25" s="68"/>
      <c r="N25" s="74" t="s">
        <v>120</v>
      </c>
    </row>
    <row r="26" spans="1:14" x14ac:dyDescent="0.3">
      <c r="A26" s="19"/>
      <c r="B26" s="19" t="s">
        <v>53</v>
      </c>
      <c r="C26" s="19"/>
      <c r="D26" s="19"/>
      <c r="E26" s="19" t="s">
        <v>74</v>
      </c>
      <c r="F26" s="19" t="s">
        <v>58</v>
      </c>
      <c r="G26" s="19">
        <v>1</v>
      </c>
      <c r="H26" s="19">
        <v>1</v>
      </c>
      <c r="I26" s="19">
        <v>1</v>
      </c>
      <c r="J26" s="20">
        <v>1.63</v>
      </c>
      <c r="K26" s="20">
        <f t="shared" si="1"/>
        <v>1.63</v>
      </c>
      <c r="L26" s="20">
        <f t="shared" si="2"/>
        <v>1.63</v>
      </c>
      <c r="M26" s="68"/>
      <c r="N26" s="74" t="s">
        <v>121</v>
      </c>
    </row>
    <row r="27" spans="1:14" x14ac:dyDescent="0.3">
      <c r="A27" s="19"/>
      <c r="B27" s="19" t="s">
        <v>54</v>
      </c>
      <c r="C27" s="19"/>
      <c r="D27" s="19"/>
      <c r="E27" s="19" t="s">
        <v>75</v>
      </c>
      <c r="F27" s="19" t="s">
        <v>58</v>
      </c>
      <c r="G27" s="19">
        <v>2</v>
      </c>
      <c r="H27" s="19">
        <v>1</v>
      </c>
      <c r="I27" s="19">
        <v>2</v>
      </c>
      <c r="J27" s="20">
        <v>0.79</v>
      </c>
      <c r="K27" s="20">
        <f t="shared" si="1"/>
        <v>1.58</v>
      </c>
      <c r="L27" s="20">
        <f t="shared" si="2"/>
        <v>1.58</v>
      </c>
      <c r="M27" s="68"/>
      <c r="N27" s="74" t="s">
        <v>122</v>
      </c>
    </row>
    <row r="28" spans="1:14" x14ac:dyDescent="0.3">
      <c r="A28" s="19"/>
      <c r="B28" s="19" t="s">
        <v>57</v>
      </c>
      <c r="C28" s="19"/>
      <c r="D28" s="19"/>
      <c r="E28" s="19" t="s">
        <v>63</v>
      </c>
      <c r="F28" s="19" t="s">
        <v>58</v>
      </c>
      <c r="G28" s="19">
        <v>2</v>
      </c>
      <c r="H28" s="19">
        <v>1</v>
      </c>
      <c r="I28" s="19">
        <v>2</v>
      </c>
      <c r="J28" s="20">
        <v>1.21</v>
      </c>
      <c r="K28" s="20">
        <f t="shared" si="1"/>
        <v>2.42</v>
      </c>
      <c r="L28" s="20">
        <f t="shared" si="2"/>
        <v>2.42</v>
      </c>
      <c r="M28" s="68"/>
      <c r="N28" s="74" t="s">
        <v>123</v>
      </c>
    </row>
    <row r="29" spans="1:14" x14ac:dyDescent="0.3">
      <c r="A29" s="19"/>
      <c r="B29" s="19" t="s">
        <v>94</v>
      </c>
      <c r="C29" s="19" t="s">
        <v>96</v>
      </c>
      <c r="D29" s="19"/>
      <c r="E29" s="19" t="s">
        <v>95</v>
      </c>
      <c r="F29" s="19" t="s">
        <v>58</v>
      </c>
      <c r="G29" s="19">
        <v>9</v>
      </c>
      <c r="H29" s="19">
        <v>10</v>
      </c>
      <c r="I29" s="19">
        <v>1</v>
      </c>
      <c r="J29" s="20">
        <v>10.11</v>
      </c>
      <c r="K29" s="20">
        <f t="shared" si="1"/>
        <v>9.0989999999999984</v>
      </c>
      <c r="L29" s="20">
        <f t="shared" si="2"/>
        <v>10.11</v>
      </c>
      <c r="M29" s="68"/>
      <c r="N29" s="74" t="s">
        <v>124</v>
      </c>
    </row>
    <row r="30" spans="1:14" ht="15" thickBot="1" x14ac:dyDescent="0.35">
      <c r="A30" s="19"/>
      <c r="B30" s="19" t="s">
        <v>68</v>
      </c>
      <c r="C30" s="19"/>
      <c r="D30" s="19"/>
      <c r="E30" s="19" t="s">
        <v>69</v>
      </c>
      <c r="F30" s="19" t="s">
        <v>58</v>
      </c>
      <c r="G30" s="19">
        <v>1</v>
      </c>
      <c r="H30" s="19">
        <v>1</v>
      </c>
      <c r="I30" s="19">
        <v>1</v>
      </c>
      <c r="J30" s="20">
        <v>0.74</v>
      </c>
      <c r="K30" s="20">
        <f t="shared" si="1"/>
        <v>0.74</v>
      </c>
      <c r="L30" s="20">
        <f t="shared" si="2"/>
        <v>0.74</v>
      </c>
      <c r="M30" s="68"/>
      <c r="N30" s="74" t="s">
        <v>125</v>
      </c>
    </row>
    <row r="31" spans="1:14" ht="15" thickBot="1" x14ac:dyDescent="0.35">
      <c r="A31" s="28"/>
      <c r="B31" s="48" t="s">
        <v>25</v>
      </c>
      <c r="C31" s="29"/>
      <c r="D31" s="29"/>
      <c r="E31" s="29"/>
      <c r="F31" s="29"/>
      <c r="G31" s="29"/>
      <c r="H31" s="29"/>
      <c r="I31" s="29"/>
      <c r="J31" s="29"/>
      <c r="K31" s="9">
        <f>SUM(K33:K37)</f>
        <v>8</v>
      </c>
      <c r="L31" s="9">
        <f>SUM(L33:L37)</f>
        <v>40</v>
      </c>
      <c r="M31" s="29"/>
      <c r="N31" s="73"/>
    </row>
    <row r="32" spans="1:14" ht="15" thickBot="1" x14ac:dyDescent="0.35">
      <c r="A32" s="30"/>
      <c r="B32" s="10" t="s">
        <v>2</v>
      </c>
      <c r="C32" s="10" t="s">
        <v>3</v>
      </c>
      <c r="D32" s="10"/>
      <c r="E32" s="10" t="s">
        <v>9</v>
      </c>
      <c r="F32" s="10" t="s">
        <v>10</v>
      </c>
      <c r="G32" s="10" t="s">
        <v>14</v>
      </c>
      <c r="H32" s="10" t="s">
        <v>11</v>
      </c>
      <c r="I32" s="10" t="s">
        <v>12</v>
      </c>
      <c r="J32" s="10" t="s">
        <v>13</v>
      </c>
      <c r="K32" s="10" t="s">
        <v>15</v>
      </c>
      <c r="L32" s="10" t="s">
        <v>29</v>
      </c>
      <c r="M32" s="10"/>
      <c r="N32" s="10" t="s">
        <v>1</v>
      </c>
    </row>
    <row r="33" spans="1:14" x14ac:dyDescent="0.3">
      <c r="A33" s="21"/>
      <c r="B33" s="21" t="s">
        <v>35</v>
      </c>
      <c r="C33" s="21" t="s">
        <v>36</v>
      </c>
      <c r="D33" s="21"/>
      <c r="E33" s="21"/>
      <c r="F33" s="21"/>
      <c r="G33" s="21">
        <v>1</v>
      </c>
      <c r="H33" s="21">
        <v>5</v>
      </c>
      <c r="I33" s="21">
        <f t="shared" ref="I33" si="3">IF(G33&gt;0,CEILING(G33/H33,1),0)</f>
        <v>1</v>
      </c>
      <c r="J33" s="22">
        <v>5</v>
      </c>
      <c r="K33" s="22">
        <f t="shared" ref="K33:K35" si="4">IF(G33&gt;0,J33/H33*G33,0)</f>
        <v>1</v>
      </c>
      <c r="L33" s="22">
        <f t="shared" ref="L33:L35" si="5">I33*J33</f>
        <v>5</v>
      </c>
      <c r="M33" s="21"/>
      <c r="N33" s="21"/>
    </row>
    <row r="34" spans="1:14" x14ac:dyDescent="0.3">
      <c r="A34" s="21"/>
      <c r="B34" s="21" t="s">
        <v>37</v>
      </c>
      <c r="C34" s="21" t="s">
        <v>38</v>
      </c>
      <c r="D34" s="21"/>
      <c r="E34" s="21"/>
      <c r="F34" s="21"/>
      <c r="G34" s="21">
        <v>1</v>
      </c>
      <c r="H34" s="21">
        <v>5</v>
      </c>
      <c r="I34" s="21">
        <v>1</v>
      </c>
      <c r="J34" s="22">
        <v>5</v>
      </c>
      <c r="K34" s="22">
        <f t="shared" si="4"/>
        <v>1</v>
      </c>
      <c r="L34" s="22">
        <f t="shared" si="5"/>
        <v>5</v>
      </c>
      <c r="M34" s="21"/>
      <c r="N34" s="21"/>
    </row>
    <row r="35" spans="1:14" x14ac:dyDescent="0.3">
      <c r="A35" s="21"/>
      <c r="B35" s="21" t="s">
        <v>39</v>
      </c>
      <c r="C35" s="21" t="s">
        <v>40</v>
      </c>
      <c r="D35" s="21"/>
      <c r="E35" s="21"/>
      <c r="F35" s="21"/>
      <c r="G35" s="21">
        <v>4</v>
      </c>
      <c r="H35" s="21">
        <v>20</v>
      </c>
      <c r="I35" s="21">
        <v>1</v>
      </c>
      <c r="J35" s="22">
        <v>5</v>
      </c>
      <c r="K35" s="22">
        <f t="shared" si="4"/>
        <v>1</v>
      </c>
      <c r="L35" s="22">
        <f t="shared" si="5"/>
        <v>5</v>
      </c>
      <c r="M35" s="21"/>
      <c r="N35" s="21"/>
    </row>
    <row r="36" spans="1:14" x14ac:dyDescent="0.3">
      <c r="A36" s="15"/>
      <c r="B36" s="15"/>
      <c r="C36" s="15" t="s">
        <v>31</v>
      </c>
      <c r="D36" s="15"/>
      <c r="E36" s="15"/>
      <c r="F36" s="15"/>
      <c r="G36" s="15">
        <v>1</v>
      </c>
      <c r="H36" s="15">
        <v>5</v>
      </c>
      <c r="I36" s="21">
        <f>IF(G36&gt;0,CEILING(G36/H36,1),0)</f>
        <v>1</v>
      </c>
      <c r="J36" s="22">
        <v>25</v>
      </c>
      <c r="K36" s="22">
        <f>IF(G36&gt;0,J36/H36*G36,0)</f>
        <v>5</v>
      </c>
      <c r="L36" s="22">
        <f>I36*J36</f>
        <v>25</v>
      </c>
      <c r="M36" s="15"/>
      <c r="N36" s="15"/>
    </row>
    <row r="37" spans="1:14" s="3" customFormat="1" ht="15" thickBot="1" x14ac:dyDescent="0.35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</row>
    <row r="38" spans="1:14" ht="15" thickBot="1" x14ac:dyDescent="0.35">
      <c r="A38" s="32"/>
      <c r="B38" s="49" t="s">
        <v>22</v>
      </c>
      <c r="C38" s="33"/>
      <c r="D38" s="33"/>
      <c r="E38" s="33"/>
      <c r="F38" s="33"/>
      <c r="G38" s="33"/>
      <c r="H38" s="33"/>
      <c r="I38" s="12">
        <f>SUM(I40:I53)</f>
        <v>658</v>
      </c>
      <c r="J38" s="34"/>
      <c r="K38" s="11">
        <f>SUM(K40:K53)</f>
        <v>16.450000000000006</v>
      </c>
      <c r="L38" s="11">
        <f>SUM(L40:L53)</f>
        <v>16.450000000000006</v>
      </c>
      <c r="M38" s="33"/>
      <c r="N38" s="35"/>
    </row>
    <row r="39" spans="1:14" ht="15" thickBot="1" x14ac:dyDescent="0.35">
      <c r="A39" s="36"/>
      <c r="B39" s="12" t="s">
        <v>2</v>
      </c>
      <c r="C39" s="12" t="s">
        <v>3</v>
      </c>
      <c r="D39" s="12" t="s">
        <v>19</v>
      </c>
      <c r="E39" s="12" t="s">
        <v>16</v>
      </c>
      <c r="F39" s="12" t="s">
        <v>17</v>
      </c>
      <c r="G39" s="12" t="s">
        <v>14</v>
      </c>
      <c r="H39" s="12" t="s">
        <v>27</v>
      </c>
      <c r="I39" s="12" t="s">
        <v>24</v>
      </c>
      <c r="J39" s="12" t="s">
        <v>21</v>
      </c>
      <c r="K39" s="12" t="s">
        <v>15</v>
      </c>
      <c r="L39" s="12" t="s">
        <v>29</v>
      </c>
      <c r="M39" s="12"/>
      <c r="N39" s="12" t="s">
        <v>1</v>
      </c>
    </row>
    <row r="40" spans="1:14" x14ac:dyDescent="0.3">
      <c r="A40" s="23"/>
      <c r="B40" s="23" t="s">
        <v>77</v>
      </c>
      <c r="C40" s="23"/>
      <c r="D40" s="23" t="s">
        <v>20</v>
      </c>
      <c r="E40" s="23"/>
      <c r="F40" s="23" t="s">
        <v>18</v>
      </c>
      <c r="G40" s="23">
        <v>1</v>
      </c>
      <c r="H40" s="23">
        <v>97</v>
      </c>
      <c r="I40" s="23">
        <f>G40*H40</f>
        <v>97</v>
      </c>
      <c r="J40" s="24">
        <v>25</v>
      </c>
      <c r="K40" s="24">
        <f>IF(G40&gt;0,(J40/1000)*G40*H40,0)</f>
        <v>2.4250000000000003</v>
      </c>
      <c r="L40" s="24">
        <f>K40</f>
        <v>2.4250000000000003</v>
      </c>
      <c r="M40" s="23"/>
      <c r="N40" s="23" t="s">
        <v>130</v>
      </c>
    </row>
    <row r="41" spans="1:14" x14ac:dyDescent="0.3">
      <c r="A41" s="16"/>
      <c r="B41" s="16" t="s">
        <v>78</v>
      </c>
      <c r="C41" s="16"/>
      <c r="D41" s="16" t="s">
        <v>20</v>
      </c>
      <c r="E41" s="16"/>
      <c r="F41" s="16" t="s">
        <v>18</v>
      </c>
      <c r="G41" s="16">
        <v>1</v>
      </c>
      <c r="H41" s="16">
        <v>100</v>
      </c>
      <c r="I41" s="16">
        <f t="shared" ref="I41" si="6">G41*H41</f>
        <v>100</v>
      </c>
      <c r="J41" s="13">
        <v>25</v>
      </c>
      <c r="K41" s="13">
        <f t="shared" ref="K41" si="7">IF(G41&gt;0,(J41/1000)*G41*H41,0)</f>
        <v>2.5</v>
      </c>
      <c r="L41" s="13">
        <f t="shared" ref="L41" si="8">K41</f>
        <v>2.5</v>
      </c>
      <c r="M41" s="16"/>
      <c r="N41" s="16" t="s">
        <v>131</v>
      </c>
    </row>
    <row r="42" spans="1:14" x14ac:dyDescent="0.3">
      <c r="A42" s="16"/>
      <c r="B42" s="16" t="s">
        <v>79</v>
      </c>
      <c r="C42" s="16"/>
      <c r="D42" s="16" t="s">
        <v>20</v>
      </c>
      <c r="E42" s="16"/>
      <c r="F42" s="16" t="s">
        <v>18</v>
      </c>
      <c r="G42" s="16">
        <v>1</v>
      </c>
      <c r="H42" s="16">
        <v>76</v>
      </c>
      <c r="I42" s="16">
        <f t="shared" ref="I42:I52" si="9">G42*H42</f>
        <v>76</v>
      </c>
      <c r="J42" s="24">
        <v>25</v>
      </c>
      <c r="K42" s="13">
        <f>IF(G42&gt;0,(J42/1000)*G42*H42,0)</f>
        <v>1.9000000000000001</v>
      </c>
      <c r="L42" s="13">
        <f>K42</f>
        <v>1.9000000000000001</v>
      </c>
      <c r="M42" s="16"/>
      <c r="N42" s="16" t="s">
        <v>132</v>
      </c>
    </row>
    <row r="43" spans="1:14" x14ac:dyDescent="0.3">
      <c r="A43" s="16"/>
      <c r="B43" s="16" t="s">
        <v>76</v>
      </c>
      <c r="C43" s="16"/>
      <c r="D43" s="16" t="s">
        <v>20</v>
      </c>
      <c r="E43" s="16"/>
      <c r="F43" s="16" t="s">
        <v>18</v>
      </c>
      <c r="G43" s="16">
        <v>1</v>
      </c>
      <c r="H43" s="16">
        <v>76</v>
      </c>
      <c r="I43" s="16">
        <f t="shared" si="9"/>
        <v>76</v>
      </c>
      <c r="J43" s="13">
        <v>25</v>
      </c>
      <c r="K43" s="13">
        <f>IF(G43&gt;0,(J43/1000)*G43*H43,0)</f>
        <v>1.9000000000000001</v>
      </c>
      <c r="L43" s="13">
        <f>K43</f>
        <v>1.9000000000000001</v>
      </c>
      <c r="M43" s="16"/>
      <c r="N43" s="16" t="s">
        <v>133</v>
      </c>
    </row>
    <row r="44" spans="1:14" x14ac:dyDescent="0.3">
      <c r="A44" s="16"/>
      <c r="B44" s="16" t="s">
        <v>80</v>
      </c>
      <c r="C44" s="16"/>
      <c r="D44" s="16" t="s">
        <v>20</v>
      </c>
      <c r="E44" s="16"/>
      <c r="F44" s="16" t="s">
        <v>18</v>
      </c>
      <c r="G44" s="16">
        <v>4</v>
      </c>
      <c r="H44" s="16">
        <v>19</v>
      </c>
      <c r="I44" s="16">
        <f t="shared" si="9"/>
        <v>76</v>
      </c>
      <c r="J44" s="24">
        <v>25</v>
      </c>
      <c r="K44" s="13">
        <f>IF(G44&gt;0,(J44/1000)*G44*H44,0)</f>
        <v>1.9000000000000001</v>
      </c>
      <c r="L44" s="13">
        <f>K44</f>
        <v>1.9000000000000001</v>
      </c>
      <c r="M44" s="16"/>
      <c r="N44" s="16" t="s">
        <v>86</v>
      </c>
    </row>
    <row r="45" spans="1:14" x14ac:dyDescent="0.3">
      <c r="A45" s="16"/>
      <c r="B45" s="16" t="s">
        <v>81</v>
      </c>
      <c r="C45" s="16"/>
      <c r="D45" s="16" t="s">
        <v>20</v>
      </c>
      <c r="E45" s="16"/>
      <c r="F45" s="16" t="s">
        <v>18</v>
      </c>
      <c r="G45" s="16">
        <v>4</v>
      </c>
      <c r="H45" s="16">
        <v>23</v>
      </c>
      <c r="I45" s="16">
        <f t="shared" si="9"/>
        <v>92</v>
      </c>
      <c r="J45" s="24">
        <v>25</v>
      </c>
      <c r="K45" s="13">
        <f t="shared" ref="K45:K52" si="10">IF(G45&gt;0,(J45/1000)*G45*H45,0)</f>
        <v>2.3000000000000003</v>
      </c>
      <c r="L45" s="13">
        <f t="shared" ref="L45:L52" si="11">K45</f>
        <v>2.3000000000000003</v>
      </c>
      <c r="M45" s="16"/>
      <c r="N45" s="16" t="s">
        <v>127</v>
      </c>
    </row>
    <row r="46" spans="1:14" x14ac:dyDescent="0.3">
      <c r="A46" s="16"/>
      <c r="B46" s="69" t="s">
        <v>82</v>
      </c>
      <c r="C46" s="69"/>
      <c r="D46" s="69" t="s">
        <v>20</v>
      </c>
      <c r="E46" s="69"/>
      <c r="F46" s="69" t="s">
        <v>18</v>
      </c>
      <c r="G46" s="69">
        <v>4</v>
      </c>
      <c r="H46" s="69">
        <v>13</v>
      </c>
      <c r="I46" s="69">
        <f t="shared" si="9"/>
        <v>52</v>
      </c>
      <c r="J46" s="13">
        <v>25</v>
      </c>
      <c r="K46" s="13">
        <f t="shared" si="10"/>
        <v>1.3</v>
      </c>
      <c r="L46" s="13">
        <f t="shared" si="11"/>
        <v>1.3</v>
      </c>
      <c r="M46" s="16"/>
      <c r="N46" s="16" t="s">
        <v>128</v>
      </c>
    </row>
    <row r="47" spans="1:14" x14ac:dyDescent="0.3">
      <c r="A47" s="16"/>
      <c r="B47" s="69" t="s">
        <v>83</v>
      </c>
      <c r="C47" s="69"/>
      <c r="D47" s="69" t="s">
        <v>20</v>
      </c>
      <c r="E47" s="69"/>
      <c r="F47" s="69" t="s">
        <v>18</v>
      </c>
      <c r="G47" s="69">
        <v>4</v>
      </c>
      <c r="H47" s="69">
        <v>7</v>
      </c>
      <c r="I47" s="69">
        <f t="shared" si="9"/>
        <v>28</v>
      </c>
      <c r="J47" s="24">
        <v>25</v>
      </c>
      <c r="K47" s="13">
        <f t="shared" si="10"/>
        <v>0.70000000000000007</v>
      </c>
      <c r="L47" s="13">
        <f t="shared" si="11"/>
        <v>0.70000000000000007</v>
      </c>
      <c r="M47" s="16"/>
      <c r="N47" s="16" t="s">
        <v>87</v>
      </c>
    </row>
    <row r="48" spans="1:14" x14ac:dyDescent="0.3">
      <c r="A48" s="16"/>
      <c r="B48" s="69" t="s">
        <v>84</v>
      </c>
      <c r="C48" s="69"/>
      <c r="D48" s="69" t="s">
        <v>20</v>
      </c>
      <c r="E48" s="69"/>
      <c r="F48" s="69" t="s">
        <v>18</v>
      </c>
      <c r="G48" s="69">
        <v>2</v>
      </c>
      <c r="H48" s="69">
        <v>21</v>
      </c>
      <c r="I48" s="69">
        <f t="shared" si="9"/>
        <v>42</v>
      </c>
      <c r="J48" s="13">
        <v>25</v>
      </c>
      <c r="K48" s="13">
        <f t="shared" si="10"/>
        <v>1.05</v>
      </c>
      <c r="L48" s="13">
        <f t="shared" si="11"/>
        <v>1.05</v>
      </c>
      <c r="M48" s="16"/>
      <c r="N48" s="16" t="s">
        <v>129</v>
      </c>
    </row>
    <row r="49" spans="1:14" x14ac:dyDescent="0.3">
      <c r="A49" s="37"/>
      <c r="B49" s="71" t="s">
        <v>134</v>
      </c>
      <c r="C49" s="71"/>
      <c r="D49" s="71" t="s">
        <v>20</v>
      </c>
      <c r="E49" s="71"/>
      <c r="F49" s="71" t="s">
        <v>18</v>
      </c>
      <c r="G49" s="71">
        <v>4</v>
      </c>
      <c r="H49" s="71">
        <v>1</v>
      </c>
      <c r="I49" s="71">
        <f t="shared" si="9"/>
        <v>4</v>
      </c>
      <c r="J49" s="13">
        <v>25</v>
      </c>
      <c r="K49" s="13">
        <f t="shared" si="10"/>
        <v>0.1</v>
      </c>
      <c r="L49" s="13">
        <f t="shared" si="11"/>
        <v>0.1</v>
      </c>
      <c r="M49" s="37"/>
      <c r="N49" s="37" t="s">
        <v>136</v>
      </c>
    </row>
    <row r="50" spans="1:14" x14ac:dyDescent="0.3">
      <c r="A50" s="37"/>
      <c r="B50" s="71" t="s">
        <v>135</v>
      </c>
      <c r="C50" s="71"/>
      <c r="D50" s="71" t="s">
        <v>20</v>
      </c>
      <c r="E50" s="71"/>
      <c r="F50" s="71" t="s">
        <v>18</v>
      </c>
      <c r="G50" s="71">
        <v>4</v>
      </c>
      <c r="H50" s="71">
        <v>1</v>
      </c>
      <c r="I50" s="71">
        <f t="shared" si="9"/>
        <v>4</v>
      </c>
      <c r="J50" s="13">
        <v>25</v>
      </c>
      <c r="K50" s="13">
        <f t="shared" si="10"/>
        <v>0.1</v>
      </c>
      <c r="L50" s="13">
        <f t="shared" si="11"/>
        <v>0.1</v>
      </c>
      <c r="M50" s="37"/>
      <c r="N50" s="37" t="s">
        <v>137</v>
      </c>
    </row>
    <row r="51" spans="1:14" x14ac:dyDescent="0.3">
      <c r="A51" s="37"/>
      <c r="B51" s="71" t="s">
        <v>98</v>
      </c>
      <c r="C51" s="71"/>
      <c r="D51" s="71" t="s">
        <v>20</v>
      </c>
      <c r="E51" s="71"/>
      <c r="F51" s="71" t="s">
        <v>18</v>
      </c>
      <c r="G51" s="71">
        <v>1</v>
      </c>
      <c r="H51" s="71">
        <v>2</v>
      </c>
      <c r="I51" s="71">
        <f t="shared" si="9"/>
        <v>2</v>
      </c>
      <c r="J51" s="24">
        <v>25</v>
      </c>
      <c r="K51" s="13">
        <f t="shared" si="10"/>
        <v>0.05</v>
      </c>
      <c r="L51" s="13">
        <f t="shared" si="11"/>
        <v>0.05</v>
      </c>
      <c r="M51" s="37"/>
      <c r="N51" s="37" t="s">
        <v>99</v>
      </c>
    </row>
    <row r="52" spans="1:14" x14ac:dyDescent="0.3">
      <c r="A52" s="37"/>
      <c r="B52" s="37" t="s">
        <v>85</v>
      </c>
      <c r="C52" s="37"/>
      <c r="D52" s="37" t="s">
        <v>20</v>
      </c>
      <c r="E52" s="37"/>
      <c r="F52" s="37" t="s">
        <v>18</v>
      </c>
      <c r="G52" s="37">
        <v>1</v>
      </c>
      <c r="H52" s="37">
        <v>9</v>
      </c>
      <c r="I52" s="37">
        <f t="shared" si="9"/>
        <v>9</v>
      </c>
      <c r="J52" s="24">
        <v>25</v>
      </c>
      <c r="K52" s="13">
        <f t="shared" si="10"/>
        <v>0.22500000000000001</v>
      </c>
      <c r="L52" s="13">
        <f t="shared" si="11"/>
        <v>0.22500000000000001</v>
      </c>
      <c r="M52" s="37"/>
      <c r="N52" s="37" t="s">
        <v>126</v>
      </c>
    </row>
    <row r="53" spans="1:14" s="66" customFormat="1" ht="15" thickBot="1" x14ac:dyDescent="0.35">
      <c r="A53" s="64"/>
      <c r="B53" s="64"/>
      <c r="C53" s="64"/>
      <c r="D53" s="64"/>
      <c r="E53" s="64"/>
      <c r="F53" s="64"/>
      <c r="G53" s="64"/>
      <c r="H53" s="64"/>
      <c r="I53" s="64"/>
      <c r="J53" s="65"/>
      <c r="K53" s="65"/>
      <c r="L53" s="65"/>
      <c r="M53" s="64"/>
      <c r="N53" s="64"/>
    </row>
    <row r="54" spans="1:14" ht="15" thickBot="1" x14ac:dyDescent="0.35">
      <c r="A54" s="38"/>
      <c r="B54" s="50" t="s">
        <v>23</v>
      </c>
      <c r="C54" s="39"/>
      <c r="D54" s="39"/>
      <c r="E54" s="39"/>
      <c r="F54" s="39"/>
      <c r="G54" s="39"/>
      <c r="H54" s="39"/>
      <c r="I54" s="39"/>
      <c r="J54" s="40"/>
      <c r="K54" s="39"/>
      <c r="L54" s="39"/>
      <c r="M54" s="39"/>
      <c r="N54" s="41"/>
    </row>
    <row r="55" spans="1:14" ht="15" thickBot="1" x14ac:dyDescent="0.35">
      <c r="A55" s="42"/>
      <c r="B55" s="61" t="s">
        <v>32</v>
      </c>
      <c r="C55" s="61" t="s">
        <v>3</v>
      </c>
      <c r="D55" s="26"/>
      <c r="E55" s="61" t="s">
        <v>9</v>
      </c>
      <c r="F55" s="61" t="s">
        <v>10</v>
      </c>
      <c r="G55" s="26"/>
      <c r="H55" s="26"/>
      <c r="I55" s="26"/>
      <c r="J55" s="26"/>
      <c r="K55" s="26"/>
      <c r="L55" s="26"/>
      <c r="M55" s="26"/>
      <c r="N55" s="61" t="s">
        <v>1</v>
      </c>
    </row>
    <row r="56" spans="1:14" x14ac:dyDescent="0.3">
      <c r="A56" s="25"/>
      <c r="B56" s="25" t="s">
        <v>88</v>
      </c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</row>
    <row r="57" spans="1:14" x14ac:dyDescent="0.3">
      <c r="A57" s="17"/>
      <c r="B57" s="17" t="s">
        <v>89</v>
      </c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</row>
    <row r="58" spans="1:14" x14ac:dyDescent="0.3">
      <c r="A58" s="17"/>
      <c r="B58" s="17" t="s">
        <v>90</v>
      </c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</row>
    <row r="59" spans="1:14" x14ac:dyDescent="0.3">
      <c r="A59" s="17"/>
      <c r="B59" s="17" t="s">
        <v>91</v>
      </c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</row>
    <row r="60" spans="1:14" x14ac:dyDescent="0.3">
      <c r="A60" s="17"/>
      <c r="B60" s="17" t="s">
        <v>93</v>
      </c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</row>
    <row r="61" spans="1:14" ht="15" thickBot="1" x14ac:dyDescent="0.35">
      <c r="A61" s="43"/>
      <c r="B61" s="43" t="s">
        <v>92</v>
      </c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</row>
    <row r="62" spans="1:14" ht="15" thickBot="1" x14ac:dyDescent="0.35">
      <c r="A62" s="44"/>
      <c r="B62" s="51" t="s">
        <v>30</v>
      </c>
      <c r="C62" s="45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3"/>
    </row>
    <row r="63" spans="1:14" ht="15" thickBot="1" x14ac:dyDescent="0.35">
      <c r="A63" s="46"/>
      <c r="B63" s="14" t="s">
        <v>2</v>
      </c>
      <c r="C63" s="14" t="s">
        <v>3</v>
      </c>
      <c r="D63" s="14"/>
      <c r="E63" s="14" t="s">
        <v>9</v>
      </c>
      <c r="F63" s="14" t="s">
        <v>10</v>
      </c>
      <c r="G63" s="14" t="s">
        <v>14</v>
      </c>
      <c r="H63" s="14" t="s">
        <v>11</v>
      </c>
      <c r="I63" s="14" t="s">
        <v>12</v>
      </c>
      <c r="J63" s="14" t="s">
        <v>13</v>
      </c>
      <c r="K63" s="14" t="s">
        <v>15</v>
      </c>
      <c r="L63" s="14" t="s">
        <v>29</v>
      </c>
      <c r="M63" s="14"/>
      <c r="N63" s="14" t="s">
        <v>1</v>
      </c>
    </row>
    <row r="64" spans="1:14" x14ac:dyDescent="0.3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</row>
    <row r="65" spans="1:14" x14ac:dyDescent="0.3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</row>
    <row r="66" spans="1:14" x14ac:dyDescent="0.3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</row>
    <row r="67" spans="1:14" x14ac:dyDescent="0.3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</row>
    <row r="68" spans="1:14" x14ac:dyDescent="0.3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</row>
    <row r="69" spans="1:14" x14ac:dyDescent="0.3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</row>
    <row r="70" spans="1:14" x14ac:dyDescent="0.3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</row>
    <row r="71" spans="1:14" x14ac:dyDescent="0.3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</row>
    <row r="72" spans="1:14" x14ac:dyDescent="0.3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</row>
    <row r="73" spans="1:14" x14ac:dyDescent="0.3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</row>
    <row r="74" spans="1:14" x14ac:dyDescent="0.3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</row>
  </sheetData>
  <mergeCells count="1">
    <mergeCell ref="B1:J1"/>
  </mergeCells>
  <hyperlinks>
    <hyperlink ref="N10" r:id="rId1" xr:uid="{8447129F-C78A-4FEA-9842-879AB00E2162}"/>
    <hyperlink ref="N11" r:id="rId2" xr:uid="{4EB64896-C180-42EB-AC79-AD8F15A14D76}"/>
    <hyperlink ref="N12" r:id="rId3" xr:uid="{B4CB7E56-7A97-46CF-9602-770C16627944}"/>
    <hyperlink ref="N13" r:id="rId4" xr:uid="{FF16413B-B3A7-4064-BCF8-FE2C73BFCF9B}"/>
    <hyperlink ref="N14" r:id="rId5" xr:uid="{9BF3A7D4-609C-4AC0-9187-C49CE9446C79}"/>
    <hyperlink ref="N15" r:id="rId6" xr:uid="{0B3A2A39-4BEF-4379-B4E2-562083EB8895}"/>
    <hyperlink ref="N16" r:id="rId7" xr:uid="{0F18EA91-C714-47E4-B482-E9620EE32B2B}"/>
    <hyperlink ref="N17" r:id="rId8" xr:uid="{344C9BF4-5C2C-4160-885C-82619F8C943F}"/>
    <hyperlink ref="N18" r:id="rId9" xr:uid="{E6C9C6C4-2F5C-4E16-A543-5186AF0872FC}"/>
    <hyperlink ref="N19" r:id="rId10" xr:uid="{70E283DE-3DFD-4AE0-A69F-8FC164C26B87}"/>
    <hyperlink ref="N20" r:id="rId11" xr:uid="{1F4A46AA-85CF-492E-A9B0-7391507D2A94}"/>
    <hyperlink ref="N21" r:id="rId12" xr:uid="{47B7D115-A826-446F-A722-D1B01B2200E0}"/>
    <hyperlink ref="N22" r:id="rId13" xr:uid="{9C5958CF-8F49-4148-AB7A-85BB57BCD98F}"/>
    <hyperlink ref="N23" r:id="rId14" xr:uid="{82282659-6976-4F55-9935-0295A106D7F4}"/>
    <hyperlink ref="N24" r:id="rId15" xr:uid="{FB488172-D77B-4584-99CE-7C9CC065718D}"/>
    <hyperlink ref="N25" r:id="rId16" xr:uid="{37BEAA7B-9F03-4B19-8EC3-828108135AE7}"/>
    <hyperlink ref="N26" r:id="rId17" xr:uid="{02DC69FE-1430-4EE6-B6CA-F473C4FDD1B2}"/>
    <hyperlink ref="N27" r:id="rId18" xr:uid="{AE49AA49-EBAE-4D70-BAFF-B9EA46BAF291}"/>
    <hyperlink ref="N28" r:id="rId19" xr:uid="{2173BC75-FAC5-4362-AF2D-575D1BE0DB8B}"/>
    <hyperlink ref="N29" r:id="rId20" xr:uid="{B548937C-1273-47B6-A72D-F23F4973FA48}"/>
    <hyperlink ref="N30" r:id="rId21" xr:uid="{97974C51-F559-439E-9323-D53CC16A19FE}"/>
  </hyperlinks>
  <pageMargins left="0.7" right="0.7" top="0.75" bottom="0.75" header="0.3" footer="0.3"/>
  <pageSetup orientation="portrait" r:id="rId2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51EC7ECFAC78D4E8EF6CBAFFF0B3505" ma:contentTypeVersion="19" ma:contentTypeDescription="Create a new document." ma:contentTypeScope="" ma:versionID="5d9401e09799b0dc5f93c06ba9768007">
  <xsd:schema xmlns:xsd="http://www.w3.org/2001/XMLSchema" xmlns:xs="http://www.w3.org/2001/XMLSchema" xmlns:p="http://schemas.microsoft.com/office/2006/metadata/properties" xmlns:ns2="cf9f6c1f-8ad0-4eb8-bb2b-fb0b622a341e" xmlns:ns3="72c39c84-b0a3-45a2-a38c-ff46bb47f11f" targetNamespace="http://schemas.microsoft.com/office/2006/metadata/properties" ma:root="true" ma:fieldsID="70cec36318042db763ca353140da6103" ns2:_="" ns3:_="">
    <xsd:import namespace="cf9f6c1f-8ad0-4eb8-bb2b-fb0b622a341e"/>
    <xsd:import namespace="72c39c84-b0a3-45a2-a38c-ff46bb47f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9f6c1f-8ad0-4eb8-bb2b-fb0b622a34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26ec1fed-e6ae-4c84-a4ac-123136fd931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c39c84-b0a3-45a2-a38c-ff46bb47f11f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230263d0-9f1a-4e63-a49c-f06b563fb00a}" ma:internalName="TaxCatchAll" ma:showField="CatchAllData" ma:web="72c39c84-b0a3-45a2-a38c-ff46bb47f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2c39c84-b0a3-45a2-a38c-ff46bb47f11f" xsi:nil="true"/>
    <lcf76f155ced4ddcb4097134ff3c332f xmlns="cf9f6c1f-8ad0-4eb8-bb2b-fb0b622a341e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22CE84D-5819-46BA-9024-526A9CB2683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9f6c1f-8ad0-4eb8-bb2b-fb0b622a341e"/>
    <ds:schemaRef ds:uri="72c39c84-b0a3-45a2-a38c-ff46bb47f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740145F-09D2-466B-B9A2-2798696B0AD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958292-C6C4-482B-887A-6CF9FB19AB74}">
  <ds:schemaRefs>
    <ds:schemaRef ds:uri="http://schemas.microsoft.com/office/2006/metadata/properties"/>
    <ds:schemaRef ds:uri="http://schemas.microsoft.com/office/infopath/2007/PartnerControls"/>
    <ds:schemaRef ds:uri="72c39c84-b0a3-45a2-a38c-ff46bb47f11f"/>
    <ds:schemaRef ds:uri="cf9f6c1f-8ad0-4eb8-bb2b-fb0b622a341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MMC Co-op</dc:creator>
  <cp:keywords/>
  <dc:description/>
  <cp:lastModifiedBy>Stephan Dobri</cp:lastModifiedBy>
  <cp:revision/>
  <dcterms:created xsi:type="dcterms:W3CDTF">2021-04-20T01:54:08Z</dcterms:created>
  <dcterms:modified xsi:type="dcterms:W3CDTF">2026-03-26T21:13:13Z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0x010100B51EC7ECFAC78D4E8EF6CBAFFF0B3505</vt:lpwstr>
  </property>
  <property fmtid="{D5CDD505-2E9C-101B-9397-08002B2CF9AE}" pid="3" name="MediaServiceImageTags">
    <vt:lpwstr/>
  </property>
</Properties>
</file>