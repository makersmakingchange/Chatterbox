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38620" windowHeight="21100" tabRatio="600" firstSheet="0" activeTab="0" autoFilterDateGrouping="1"/>
  </bookViews>
  <sheets>
    <sheet name="BO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Roboto Black"/>
      <color theme="1"/>
      <sz val="28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</fonts>
  <fills count="18">
    <fill>
      <patternFill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15">
    <xf numFmtId="0" fontId="1" fillId="0" borderId="0"/>
    <xf numFmtId="0" fontId="3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3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7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4" pivotButton="0" quotePrefix="0" xfId="0"/>
    <xf numFmtId="0" fontId="2" fillId="0" borderId="4" pivotButton="0" quotePrefix="0" xfId="0"/>
    <xf numFmtId="0" fontId="1" fillId="7" borderId="5" pivotButton="0" quotePrefix="0" xfId="6"/>
    <xf numFmtId="0" fontId="1" fillId="7" borderId="0" pivotButton="0" quotePrefix="0" xfId="6"/>
    <xf numFmtId="164" fontId="1" fillId="7" borderId="5" pivotButton="0" quotePrefix="0" xfId="6"/>
    <xf numFmtId="0" fontId="1" fillId="7" borderId="1" pivotButton="0" quotePrefix="0" xfId="6"/>
    <xf numFmtId="164" fontId="1" fillId="4" borderId="1" pivotButton="0" quotePrefix="0" xfId="3"/>
    <xf numFmtId="0" fontId="1" fillId="4" borderId="1" pivotButton="0" quotePrefix="0" xfId="3"/>
    <xf numFmtId="164" fontId="1" fillId="14" borderId="1" pivotButton="0" quotePrefix="0" xfId="13"/>
    <xf numFmtId="0" fontId="1" fillId="14" borderId="1" pivotButton="0" quotePrefix="0" xfId="13"/>
    <xf numFmtId="164" fontId="1" fillId="13" borderId="2" pivotButton="0" quotePrefix="0" xfId="12"/>
    <xf numFmtId="0" fontId="1" fillId="9" borderId="1" pivotButton="0" quotePrefix="0" xfId="8"/>
    <xf numFmtId="0" fontId="1" fillId="3" borderId="2" pivotButton="0" quotePrefix="0" xfId="2"/>
    <xf numFmtId="0" fontId="1" fillId="13" borderId="2" pivotButton="0" quotePrefix="0" xfId="12"/>
    <xf numFmtId="0" fontId="1" fillId="11" borderId="2" pivotButton="0" quotePrefix="0" xfId="10"/>
    <xf numFmtId="0" fontId="1" fillId="8" borderId="2" pivotButton="0" quotePrefix="0" xfId="7"/>
    <xf numFmtId="0" fontId="1" fillId="6" borderId="6" pivotButton="0" quotePrefix="0" xfId="5"/>
    <xf numFmtId="164" fontId="1" fillId="6" borderId="6" pivotButton="0" quotePrefix="0" xfId="5"/>
    <xf numFmtId="0" fontId="1" fillId="3" borderId="6" pivotButton="0" quotePrefix="0" xfId="2"/>
    <xf numFmtId="164" fontId="1" fillId="3" borderId="6" pivotButton="0" quotePrefix="0" xfId="2"/>
    <xf numFmtId="0" fontId="1" fillId="13" borderId="6" pivotButton="0" quotePrefix="0" xfId="12"/>
    <xf numFmtId="164" fontId="1" fillId="13" borderId="6" pivotButton="0" quotePrefix="0" xfId="12"/>
    <xf numFmtId="0" fontId="1" fillId="11" borderId="6" pivotButton="0" quotePrefix="0" xfId="10"/>
    <xf numFmtId="0" fontId="1" fillId="12" borderId="7" pivotButton="0" quotePrefix="0" xfId="11"/>
    <xf numFmtId="0" fontId="1" fillId="8" borderId="6" pivotButton="0" quotePrefix="0" xfId="7"/>
    <xf numFmtId="0" fontId="1" fillId="4" borderId="9" pivotButton="0" quotePrefix="0" xfId="3"/>
    <xf numFmtId="0" fontId="1" fillId="4" borderId="10" pivotButton="0" quotePrefix="0" xfId="3"/>
    <xf numFmtId="0" fontId="1" fillId="4" borderId="12" pivotButton="0" quotePrefix="0" xfId="3"/>
    <xf numFmtId="0" fontId="1" fillId="3" borderId="8" pivotButton="0" quotePrefix="0" xfId="2"/>
    <xf numFmtId="0" fontId="1" fillId="14" borderId="9" pivotButton="0" quotePrefix="0" xfId="13"/>
    <xf numFmtId="0" fontId="1" fillId="14" borderId="10" pivotButton="0" quotePrefix="0" xfId="13"/>
    <xf numFmtId="164" fontId="1" fillId="14" borderId="10" pivotButton="0" quotePrefix="0" xfId="13"/>
    <xf numFmtId="0" fontId="1" fillId="14" borderId="11" pivotButton="0" quotePrefix="0" xfId="13"/>
    <xf numFmtId="0" fontId="1" fillId="14" borderId="12" pivotButton="0" quotePrefix="0" xfId="13"/>
    <xf numFmtId="0" fontId="1" fillId="13" borderId="8" pivotButton="0" quotePrefix="0" xfId="12"/>
    <xf numFmtId="0" fontId="1" fillId="12" borderId="9" pivotButton="0" quotePrefix="0" xfId="11"/>
    <xf numFmtId="0" fontId="1" fillId="12" borderId="10" pivotButton="0" quotePrefix="0" xfId="11"/>
    <xf numFmtId="164" fontId="1" fillId="12" borderId="10" pivotButton="0" quotePrefix="0" xfId="11"/>
    <xf numFmtId="0" fontId="1" fillId="12" borderId="11" pivotButton="0" quotePrefix="0" xfId="11"/>
    <xf numFmtId="0" fontId="1" fillId="12" borderId="12" pivotButton="0" quotePrefix="0" xfId="11"/>
    <xf numFmtId="0" fontId="1" fillId="11" borderId="8" pivotButton="0" quotePrefix="0" xfId="10"/>
    <xf numFmtId="0" fontId="1" fillId="9" borderId="9" pivotButton="0" quotePrefix="0" xfId="8"/>
    <xf numFmtId="0" fontId="1" fillId="9" borderId="14" pivotButton="0" quotePrefix="0" xfId="8"/>
    <xf numFmtId="0" fontId="1" fillId="9" borderId="12" pivotButton="0" quotePrefix="0" xfId="8"/>
    <xf numFmtId="0" fontId="2" fillId="7" borderId="5" pivotButton="0" quotePrefix="0" xfId="6"/>
    <xf numFmtId="0" fontId="2" fillId="4" borderId="1" pivotButton="0" quotePrefix="0" xfId="3"/>
    <xf numFmtId="0" fontId="2" fillId="14" borderId="1" pivotButton="0" quotePrefix="0" xfId="13"/>
    <xf numFmtId="0" fontId="2" fillId="12" borderId="1" pivotButton="0" quotePrefix="0" xfId="11"/>
    <xf numFmtId="0" fontId="2" fillId="9" borderId="13" pivotButton="0" quotePrefix="0" xfId="8"/>
    <xf numFmtId="0" fontId="5" fillId="0" borderId="0" pivotButton="0" quotePrefix="0" xfId="0"/>
    <xf numFmtId="0" fontId="5" fillId="10" borderId="3" pivotButton="0" quotePrefix="0" xfId="9"/>
    <xf numFmtId="0" fontId="6" fillId="2" borderId="0" pivotButton="0" quotePrefix="0" xfId="1"/>
    <xf numFmtId="0" fontId="5" fillId="0" borderId="4" pivotButton="0" quotePrefix="0" xfId="0"/>
    <xf numFmtId="164" fontId="5" fillId="10" borderId="5" pivotButton="0" quotePrefix="0" xfId="9"/>
    <xf numFmtId="165" fontId="5" fillId="2" borderId="4" pivotButton="0" quotePrefix="0" xfId="1"/>
    <xf numFmtId="0" fontId="1" fillId="5" borderId="3" pivotButton="0" quotePrefix="0" xfId="4"/>
    <xf numFmtId="0" fontId="1" fillId="5" borderId="5" pivotButton="0" quotePrefix="0" xfId="4"/>
    <xf numFmtId="164" fontId="1" fillId="7" borderId="1" pivotButton="0" quotePrefix="0" xfId="6"/>
    <xf numFmtId="0" fontId="1" fillId="12" borderId="1" pivotButton="0" quotePrefix="0" xfId="11"/>
    <xf numFmtId="0" fontId="1" fillId="9" borderId="10" pivotButton="0" quotePrefix="0" xfId="8"/>
    <xf numFmtId="0" fontId="1" fillId="9" borderId="11" pivotButton="0" quotePrefix="0" xfId="8"/>
    <xf numFmtId="0" fontId="1" fillId="15" borderId="8" pivotButton="0" quotePrefix="0" xfId="12"/>
    <xf numFmtId="164" fontId="1" fillId="15" borderId="8" pivotButton="0" quotePrefix="0" xfId="12"/>
    <xf numFmtId="0" fontId="0" fillId="15" borderId="4" pivotButton="0" quotePrefix="0" xfId="0"/>
    <xf numFmtId="14" fontId="0" fillId="0" borderId="4" pivotButton="0" quotePrefix="0" xfId="0"/>
    <xf numFmtId="0" fontId="1" fillId="16" borderId="6" pivotButton="0" quotePrefix="0" xfId="5"/>
    <xf numFmtId="0" fontId="0" fillId="17" borderId="2" pivotButton="0" quotePrefix="0" xfId="0"/>
    <xf numFmtId="164" fontId="1" fillId="16" borderId="6" pivotButton="0" quotePrefix="0" xfId="5"/>
    <xf numFmtId="0" fontId="0" fillId="17" borderId="8" pivotButton="0" quotePrefix="0" xfId="0"/>
    <xf numFmtId="0" fontId="1" fillId="7" borderId="3" pivotButton="0" quotePrefix="0" xfId="6"/>
    <xf numFmtId="0" fontId="1" fillId="4" borderId="15" pivotButton="0" quotePrefix="0" xfId="3"/>
    <xf numFmtId="0" fontId="7" fillId="16" borderId="2" pivotButton="0" quotePrefix="0" xfId="14"/>
    <xf numFmtId="0" fontId="4" fillId="0" borderId="0" applyAlignment="1" pivotButton="0" quotePrefix="0" xfId="0">
      <alignment horizontal="left"/>
    </xf>
    <xf numFmtId="164" fontId="5" fillId="10" borderId="5" pivotButton="0" quotePrefix="0" xfId="9"/>
    <xf numFmtId="165" fontId="5" fillId="2" borderId="4" pivotButton="0" quotePrefix="0" xfId="1"/>
    <xf numFmtId="164" fontId="1" fillId="7" borderId="1" pivotButton="0" quotePrefix="0" xfId="6"/>
    <xf numFmtId="164" fontId="1" fillId="7" borderId="5" pivotButton="0" quotePrefix="0" xfId="6"/>
    <xf numFmtId="164" fontId="1" fillId="6" borderId="6" pivotButton="0" quotePrefix="0" xfId="5"/>
    <xf numFmtId="164" fontId="1" fillId="16" borderId="6" pivotButton="0" quotePrefix="0" xfId="5"/>
    <xf numFmtId="164" fontId="1" fillId="4" borderId="1" pivotButton="0" quotePrefix="0" xfId="3"/>
    <xf numFmtId="164" fontId="1" fillId="3" borderId="6" pivotButton="0" quotePrefix="0" xfId="2"/>
    <xf numFmtId="164" fontId="1" fillId="14" borderId="10" pivotButton="0" quotePrefix="0" xfId="13"/>
    <xf numFmtId="164" fontId="1" fillId="14" borderId="1" pivotButton="0" quotePrefix="0" xfId="13"/>
    <xf numFmtId="164" fontId="1" fillId="13" borderId="6" pivotButton="0" quotePrefix="0" xfId="12"/>
    <xf numFmtId="164" fontId="1" fillId="13" borderId="2" pivotButton="0" quotePrefix="0" xfId="12"/>
    <xf numFmtId="164" fontId="1" fillId="15" borderId="8" pivotButton="0" quotePrefix="0" xfId="12"/>
    <xf numFmtId="164" fontId="1" fillId="12" borderId="10" pivotButton="0" quotePrefix="0" xfId="11"/>
  </cellXfs>
  <cellStyles count="15">
    <cellStyle name="Normal" xfId="0" builtinId="0"/>
    <cellStyle name="Accent2" xfId="1" builtinId="33"/>
    <cellStyle name="20% - Accent1" xfId="2" builtinId="30"/>
    <cellStyle name="40% - Accent1" xfId="3" builtinId="31"/>
    <cellStyle name="60% - Accent1" xfId="4" builtinId="32"/>
    <cellStyle name="20% - Accent2" xfId="5" builtinId="34"/>
    <cellStyle name="40% - Accent2" xfId="6" builtinId="35"/>
    <cellStyle name="20% - Accent3" xfId="7" builtinId="38"/>
    <cellStyle name="40% - Accent3" xfId="8" builtinId="39"/>
    <cellStyle name="Accent4" xfId="9" builtinId="41"/>
    <cellStyle name="20% - Accent4" xfId="10" builtinId="42"/>
    <cellStyle name="40% - Accent4" xfId="11" builtinId="43"/>
    <cellStyle name="20% - Accent6" xfId="12" builtinId="50"/>
    <cellStyle name="40% - Accent6" xfId="13" builtinId="51"/>
    <cellStyle name="Hyperlink" xfId="1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a/en/products/detail/adafruit-industries-llc/3351/6612456" TargetMode="External" Id="rId1" /><Relationship Type="http://schemas.openxmlformats.org/officeDocument/2006/relationships/hyperlink" Target="https://www.digikey.ca/en/products/detail/cui-devices/PTN16-A10125K1A2/20380750" TargetMode="External" Id="rId2" /><Relationship Type="http://schemas.openxmlformats.org/officeDocument/2006/relationships/hyperlink" Target="https://www.digikey.ca/en/products/detail/adafruit-industries-llc/254/5761230" TargetMode="External" Id="rId3" /><Relationship Type="http://schemas.openxmlformats.org/officeDocument/2006/relationships/hyperlink" Target="https://www.digikey.ca/en/products/detail/adafruit-industries-llc/5252/15841478" TargetMode="External" Id="rId4" /><Relationship Type="http://schemas.openxmlformats.org/officeDocument/2006/relationships/hyperlink" Target="https://www.digikey.ca/en/products/detail/adafruit-industries-llc/1713/4990777" TargetMode="External" Id="rId5" /><Relationship Type="http://schemas.openxmlformats.org/officeDocument/2006/relationships/hyperlink" Target="https://www.digikey.ca/en/products/detail/omron-electronics-inc-emc-div/B3F-5050/368377" TargetMode="External" Id="rId6" /><Relationship Type="http://schemas.openxmlformats.org/officeDocument/2006/relationships/hyperlink" Target="https://www.digikey.ca/en/products/detail/c-k/os102011ma1qs1/1981431" TargetMode="External" Id="rId7" /><Relationship Type="http://schemas.openxmlformats.org/officeDocument/2006/relationships/hyperlink" Target="https://www.digikey.ca/en/products/detail/cui-devices/SJ1-3535NG/738699" TargetMode="External" Id="rId8" /><Relationship Type="http://schemas.openxmlformats.org/officeDocument/2006/relationships/hyperlink" Target="https://www.digikey.ca/en/products/detail/w%C3%BCrth-elektronik/151051BS04000/4490009" TargetMode="External" Id="rId9" /><Relationship Type="http://schemas.openxmlformats.org/officeDocument/2006/relationships/hyperlink" Target="https://www.digikey.ca/en/products/detail/stackpole-electronics-inc/CF18JT2K20/1741619" TargetMode="External" Id="rId10" /><Relationship Type="http://schemas.openxmlformats.org/officeDocument/2006/relationships/hyperlink" Target="https://www.digikey.ca/en/products/detail/sullins-connector-solutions/PPTC051LFBN-RC/807239" TargetMode="External" Id="rId11" /><Relationship Type="http://schemas.openxmlformats.org/officeDocument/2006/relationships/hyperlink" Target="https://www.digikey.ca/en/products/detail/sullins-connector-solutions/PPTC151LFBN-RC/810153" TargetMode="External" Id="rId12" /><Relationship Type="http://schemas.openxmlformats.org/officeDocument/2006/relationships/hyperlink" Target="https://www.digikey.ca/en/products/detail/duracell-industrial-operations-inc/9V/21259959" TargetMode="External" Id="rId13" /><Relationship Type="http://schemas.openxmlformats.org/officeDocument/2006/relationships/hyperlink" Target="https://www.digikey.ca/en/products/detail/tdk-corporation/FG24X7R1A106KRT06/5802984" TargetMode="External" Id="rId14" /><Relationship Type="http://schemas.openxmlformats.org/officeDocument/2006/relationships/hyperlink" Target="https://www.digikey.ca/en/products/detail/keystone-electronics/232/303804" TargetMode="External" Id="rId15" /><Relationship Type="http://schemas.openxmlformats.org/officeDocument/2006/relationships/hyperlink" Target="https://www.digikey.ca/en/products/detail/serpac/6005/307599" TargetMode="External" Id="rId16" /><Relationship Type="http://schemas.openxmlformats.org/officeDocument/2006/relationships/hyperlink" Target="https://www.digikey.ca/en/products/detail/assmann-wsw-components/H3DDS-1006G/1218627" TargetMode="External" Id="rId17" /><Relationship Type="http://schemas.openxmlformats.org/officeDocument/2006/relationships/hyperlink" Target="https://www.digikey.ca/en/products/detail/amphenol-cs-fci/86130101014345E1LF/7592367" TargetMode="External" Id="rId18" /><Relationship Type="http://schemas.openxmlformats.org/officeDocument/2006/relationships/hyperlink" Target="https://www.digikey.ca/en/products/detail/c-k/os103011ma7qp1/1981432" TargetMode="External" Id="rId19" /><Relationship Type="http://schemas.openxmlformats.org/officeDocument/2006/relationships/hyperlink" Target="https://www.digikey.ca/en/products/detail/te-connectivity-raychem-cable-protection/55A0111-24-9/2399803" TargetMode="External" Id="rId20" /><Relationship Type="http://schemas.openxmlformats.org/officeDocument/2006/relationships/hyperlink" Target="https://www.digikey.ca/en/products/detail/sullins-connector-solutions/PPTC081LFBN-RC/810147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tabSelected="1" workbookViewId="0">
      <selection activeCell="L38" sqref="L38"/>
    </sheetView>
  </sheetViews>
  <sheetFormatPr baseColWidth="8" defaultRowHeight="14.4"/>
  <cols>
    <col width="19.33203125" customWidth="1" min="1" max="1"/>
    <col width="32.6640625" bestFit="1" customWidth="1" min="2" max="2"/>
    <col width="21.44140625" bestFit="1" customWidth="1" min="3" max="3"/>
    <col width="12.88671875" customWidth="1" min="4" max="4"/>
    <col width="13.109375" bestFit="1" customWidth="1" min="5" max="5"/>
    <col width="8.44140625" bestFit="1" customWidth="1" min="6" max="6"/>
    <col width="12.109375" bestFit="1" customWidth="1" min="7" max="7"/>
    <col width="13.6640625" bestFit="1" customWidth="1" min="8" max="8"/>
    <col width="15.88671875" customWidth="1" min="9" max="9"/>
    <col width="8" bestFit="1" customWidth="1" min="10" max="10"/>
    <col width="9.6640625" bestFit="1" customWidth="1" min="11" max="11"/>
    <col width="20.44140625" customWidth="1" min="12" max="12"/>
    <col width="17.33203125" customWidth="1" min="13" max="13"/>
    <col width="17.44140625" bestFit="1" customWidth="1" min="14" max="14"/>
  </cols>
  <sheetData>
    <row r="1" ht="36" customHeight="1">
      <c r="A1" s="75" t="inlineStr">
        <is>
          <t>Device:</t>
        </is>
      </c>
      <c r="B1" s="75" t="inlineStr">
        <is>
          <t>Chatterbox</t>
        </is>
      </c>
    </row>
    <row r="2">
      <c r="A2" s="1" t="inlineStr">
        <is>
          <t>Version:</t>
        </is>
      </c>
      <c r="B2" t="inlineStr">
        <is>
          <t xml:space="preserve"> V1.0.0</t>
        </is>
      </c>
    </row>
    <row r="3" ht="15" customFormat="1" customHeight="1" s="3" thickBot="1">
      <c r="A3" s="4" t="inlineStr">
        <is>
          <t>Last Updated:</t>
        </is>
      </c>
      <c r="B3" s="67" t="n">
        <v>45926</v>
      </c>
    </row>
    <row r="4">
      <c r="I4" s="58" t="inlineStr">
        <is>
          <t>Total filament (g)</t>
        </is>
      </c>
      <c r="J4" s="52" t="n"/>
      <c r="K4" s="53" t="inlineStr">
        <is>
          <t>Unit Cost</t>
        </is>
      </c>
      <c r="L4" s="54" t="inlineStr">
        <is>
          <t>Total Estimated Cost</t>
        </is>
      </c>
      <c r="M4" t="inlineStr">
        <is>
          <t>Build Cost</t>
        </is>
      </c>
    </row>
    <row r="5" ht="15" customFormat="1" customHeight="1" s="3" thickBot="1">
      <c r="C5" s="4" t="n"/>
      <c r="D5" s="4" t="n"/>
      <c r="E5" s="4" t="n"/>
      <c r="F5" s="4" t="n"/>
      <c r="I5" s="59">
        <f>SUM(H40:H45)</f>
        <v/>
      </c>
      <c r="J5" s="55" t="n"/>
      <c r="K5" s="76">
        <f>K6+K31+K38</f>
        <v/>
      </c>
      <c r="L5" s="77">
        <f>L6+L31+L38</f>
        <v/>
      </c>
    </row>
    <row r="6" ht="15" customHeight="1" thickBot="1">
      <c r="A6" s="5" t="inlineStr">
        <is>
          <t>ID</t>
        </is>
      </c>
      <c r="B6" s="47" t="inlineStr">
        <is>
          <t>Commercial Parts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78">
        <f>SUM(K8:K30)</f>
        <v/>
      </c>
      <c r="L6" s="79">
        <f>SUM(L8:L30)</f>
        <v/>
      </c>
      <c r="M6" s="6" t="n"/>
      <c r="N6" s="6" t="n"/>
    </row>
    <row r="7" ht="15" customHeight="1" thickBot="1">
      <c r="A7" s="8" t="n"/>
      <c r="B7" s="8" t="inlineStr">
        <is>
          <t>Part</t>
        </is>
      </c>
      <c r="C7" s="8" t="inlineStr">
        <is>
          <t>Description</t>
        </is>
      </c>
      <c r="D7" s="8" t="inlineStr">
        <is>
          <t>Model</t>
        </is>
      </c>
      <c r="E7" s="8" t="inlineStr">
        <is>
          <t>Manufacturer</t>
        </is>
      </c>
      <c r="F7" s="8" t="inlineStr">
        <is>
          <t>Supplier</t>
        </is>
      </c>
      <c r="G7" s="8" t="inlineStr">
        <is>
          <t>QTY / Device</t>
        </is>
      </c>
      <c r="H7" s="8" t="inlineStr">
        <is>
          <t>QTY / PKG</t>
        </is>
      </c>
      <c r="I7" s="8" t="inlineStr">
        <is>
          <t>PKGs</t>
        </is>
      </c>
      <c r="J7" s="8" t="inlineStr">
        <is>
          <t>$/ PKG</t>
        </is>
      </c>
      <c r="K7" s="8" t="inlineStr">
        <is>
          <t>$ / Device</t>
        </is>
      </c>
      <c r="L7" s="8" t="inlineStr">
        <is>
          <t>Total Estimated Cost</t>
        </is>
      </c>
      <c r="M7" s="8" t="n"/>
      <c r="N7" s="72" t="inlineStr">
        <is>
          <t>Link</t>
        </is>
      </c>
    </row>
    <row r="8">
      <c r="A8" s="19" t="n"/>
      <c r="B8" s="19" t="inlineStr">
        <is>
          <t>Micro Controller (Seeeduino Nano)</t>
        </is>
      </c>
      <c r="C8" s="19" t="n"/>
      <c r="D8" s="19" t="n"/>
      <c r="E8" s="19" t="inlineStr">
        <is>
          <t>Seeed Technology, Ltd.</t>
        </is>
      </c>
      <c r="F8" s="19" t="inlineStr">
        <is>
          <t>Digikey</t>
        </is>
      </c>
      <c r="G8" s="19" t="n">
        <v>1</v>
      </c>
      <c r="H8" s="19" t="n">
        <v>1</v>
      </c>
      <c r="I8" s="19">
        <f>IF(G8&gt;0,CEILING(G8/H8,1),0)</f>
        <v/>
      </c>
      <c r="J8" s="80" t="n">
        <v>11.07</v>
      </c>
      <c r="K8" s="80">
        <f>IF(G8&gt;0,J8/H8*G8,0)</f>
        <v/>
      </c>
      <c r="L8" s="80">
        <f>I8*J8</f>
        <v/>
      </c>
      <c r="M8" s="81" t="n"/>
      <c r="N8" s="74" t="inlineStr">
        <is>
          <t>https://www.digikey.ca/en/products/detail/seeed-technology-co-ltd/102010268/10290292</t>
        </is>
      </c>
    </row>
    <row r="9">
      <c r="A9" s="19" t="n"/>
      <c r="B9" s="19" t="inlineStr">
        <is>
          <t>Audio Amplifier (Pam8302)</t>
        </is>
      </c>
      <c r="C9" s="19" t="n"/>
      <c r="D9" s="19" t="n"/>
      <c r="E9" s="19" t="inlineStr">
        <is>
          <t>Adafruit Industries LLC</t>
        </is>
      </c>
      <c r="F9" s="19" t="inlineStr">
        <is>
          <t>Digikey</t>
        </is>
      </c>
      <c r="G9" s="19" t="n">
        <v>1</v>
      </c>
      <c r="H9" s="19" t="n">
        <v>1</v>
      </c>
      <c r="I9" s="19" t="n">
        <v>1</v>
      </c>
      <c r="J9" s="80" t="n">
        <v>6.13</v>
      </c>
      <c r="K9" s="80">
        <f>IF(G9&gt;0,J9/H9*G9,0)</f>
        <v/>
      </c>
      <c r="L9" s="80">
        <f>I9*J9</f>
        <v/>
      </c>
      <c r="M9" s="68" t="n"/>
      <c r="N9" s="74" t="inlineStr">
        <is>
          <t>https://www.digikey.ca/en/products/detail/adafruit-industries-llc/2130/5761279</t>
        </is>
      </c>
    </row>
    <row r="10">
      <c r="A10" s="19" t="n"/>
      <c r="B10" s="19" t="inlineStr">
        <is>
          <t>Mono Speaker (4Ω 3W )</t>
        </is>
      </c>
      <c r="C10" s="19" t="n"/>
      <c r="D10" s="19" t="n"/>
      <c r="E10" s="19" t="inlineStr">
        <is>
          <t>Adafruit Industries LLC</t>
        </is>
      </c>
      <c r="F10" s="19" t="inlineStr">
        <is>
          <t>Digikey</t>
        </is>
      </c>
      <c r="G10" s="19" t="n">
        <v>1</v>
      </c>
      <c r="H10" s="19" t="n">
        <v>1</v>
      </c>
      <c r="I10" s="19" t="n">
        <v>1</v>
      </c>
      <c r="J10" s="80" t="n">
        <v>6.13</v>
      </c>
      <c r="K10" s="80">
        <f>IF(G10&gt;0,J10/H10*G10,0)</f>
        <v/>
      </c>
      <c r="L10" s="80">
        <f>I10*J10</f>
        <v/>
      </c>
      <c r="M10" s="68" t="n"/>
      <c r="N10" s="74" t="inlineStr">
        <is>
          <t>https://www.digikey.ca/en/products/detail/adafruit-industries-llc/3351/6612456</t>
        </is>
      </c>
    </row>
    <row r="11">
      <c r="A11" s="19" t="n"/>
      <c r="B11" s="19" t="inlineStr">
        <is>
          <t>Audio Potentiometer</t>
        </is>
      </c>
      <c r="C11" s="19" t="n"/>
      <c r="D11" s="19" t="n"/>
      <c r="E11" s="19" t="inlineStr">
        <is>
          <t>Same Sky (Formerly CUI Devices)</t>
        </is>
      </c>
      <c r="F11" s="19" t="inlineStr">
        <is>
          <t>Digikey</t>
        </is>
      </c>
      <c r="G11" s="19" t="n">
        <v>1</v>
      </c>
      <c r="H11" s="19" t="n">
        <v>1</v>
      </c>
      <c r="I11" s="19" t="n">
        <v>1</v>
      </c>
      <c r="J11" s="80" t="n">
        <v>2.65</v>
      </c>
      <c r="K11" s="80">
        <f>IF(G11&gt;0,J11/H11*G11,0)</f>
        <v/>
      </c>
      <c r="L11" s="80">
        <f>I11*J11</f>
        <v/>
      </c>
      <c r="M11" s="68" t="n"/>
      <c r="N11" s="74" t="inlineStr">
        <is>
          <t>https://www.digikey.ca/en/products/detail/cui-devices/PTN16-A10125K1A2/20380750</t>
        </is>
      </c>
    </row>
    <row r="12">
      <c r="A12" s="19" t="n"/>
      <c r="B12" s="19" t="inlineStr">
        <is>
          <t xml:space="preserve">Micro SD Reader </t>
        </is>
      </c>
      <c r="C12" s="19" t="n"/>
      <c r="D12" s="19" t="n"/>
      <c r="E12" s="19" t="inlineStr">
        <is>
          <t>Adafruit Industries LLC</t>
        </is>
      </c>
      <c r="F12" s="19" t="inlineStr">
        <is>
          <t>Digikey</t>
        </is>
      </c>
      <c r="G12" s="19" t="n">
        <v>1</v>
      </c>
      <c r="H12" s="19" t="n">
        <v>1</v>
      </c>
      <c r="I12" s="19" t="n">
        <v>1</v>
      </c>
      <c r="J12" s="80" t="n">
        <v>10.93</v>
      </c>
      <c r="K12" s="80">
        <f>IF(G12&gt;0,J12/H12*G12,0)</f>
        <v/>
      </c>
      <c r="L12" s="80">
        <f>I12*J12</f>
        <v/>
      </c>
      <c r="M12" s="68" t="n"/>
      <c r="N12" s="74" t="inlineStr">
        <is>
          <t>https://www.digikey.ca/en/products/detail/adafruit-industries-llc/254/5761230</t>
        </is>
      </c>
    </row>
    <row r="13">
      <c r="A13" s="19" t="n"/>
      <c r="B13" s="19" t="inlineStr">
        <is>
          <t>Micro SD Card</t>
        </is>
      </c>
      <c r="C13" s="19" t="n"/>
      <c r="D13" s="19" t="n"/>
      <c r="E13" s="19" t="inlineStr">
        <is>
          <t>Adafruit Industries LLC</t>
        </is>
      </c>
      <c r="F13" s="19" t="inlineStr">
        <is>
          <t>Digikey</t>
        </is>
      </c>
      <c r="G13" s="19" t="n">
        <v>1</v>
      </c>
      <c r="H13" s="19" t="n">
        <v>1</v>
      </c>
      <c r="I13" s="19" t="n">
        <v>1</v>
      </c>
      <c r="J13" s="80" t="n">
        <v>7.69</v>
      </c>
      <c r="K13" s="80">
        <f>IF(G13&gt;0,J13/H13*G13,0)</f>
        <v/>
      </c>
      <c r="L13" s="80">
        <f>I13*J13</f>
        <v/>
      </c>
      <c r="M13" s="68" t="n"/>
      <c r="N13" s="74" t="inlineStr">
        <is>
          <t>https://www.digikey.ca/en/products/detail/adafruit-industries-llc/5252/15841478</t>
        </is>
      </c>
    </row>
    <row r="14">
      <c r="A14" s="19" t="n"/>
      <c r="B14" s="19" t="inlineStr">
        <is>
          <t>Microphone (MAX9814)</t>
        </is>
      </c>
      <c r="C14" s="19" t="n"/>
      <c r="D14" s="19" t="n"/>
      <c r="E14" s="19" t="inlineStr">
        <is>
          <t>Adafruit Industries LLC</t>
        </is>
      </c>
      <c r="F14" s="19" t="inlineStr">
        <is>
          <t>Digikey</t>
        </is>
      </c>
      <c r="G14" s="19" t="n">
        <v>1</v>
      </c>
      <c r="H14" s="19" t="n">
        <v>1</v>
      </c>
      <c r="I14" s="19" t="n">
        <v>1</v>
      </c>
      <c r="J14" s="80" t="n">
        <v>12.35</v>
      </c>
      <c r="K14" s="80">
        <f>IF(G14&gt;0,J14/H14*G14,0)</f>
        <v/>
      </c>
      <c r="L14" s="80">
        <f>I14*J14</f>
        <v/>
      </c>
      <c r="M14" s="68" t="n"/>
      <c r="N14" s="74" t="inlineStr">
        <is>
          <t>https://www.digikey.ca/en/products/detail/adafruit-industries-llc/1713/4990777</t>
        </is>
      </c>
    </row>
    <row r="15">
      <c r="A15" s="19" t="n"/>
      <c r="B15" s="19" t="inlineStr">
        <is>
          <t>Buttons (B3F-5050)</t>
        </is>
      </c>
      <c r="C15" s="19" t="n"/>
      <c r="D15" s="19" t="n"/>
      <c r="E15" s="19" t="inlineStr">
        <is>
          <t>Omron Electronics Inc-EMC Div</t>
        </is>
      </c>
      <c r="F15" s="19" t="inlineStr">
        <is>
          <t>Digikey</t>
        </is>
      </c>
      <c r="G15" s="19" t="n">
        <v>4</v>
      </c>
      <c r="H15" s="19" t="n">
        <v>1</v>
      </c>
      <c r="I15" s="19" t="n">
        <v>4</v>
      </c>
      <c r="J15" s="80" t="n">
        <v>0.57</v>
      </c>
      <c r="K15" s="80">
        <f>IF(G15&gt;0,J15/H15*G15,0)</f>
        <v/>
      </c>
      <c r="L15" s="80">
        <f>I15*J15</f>
        <v/>
      </c>
      <c r="M15" s="68" t="n"/>
      <c r="N15" s="74" t="inlineStr">
        <is>
          <t>https://www.digikey.ca/en/products/detail/omron-electronics-inc-emc-div/B3F-5050/368377</t>
        </is>
      </c>
    </row>
    <row r="16">
      <c r="A16" s="19" t="n"/>
      <c r="B16" s="19" t="inlineStr">
        <is>
          <t>Slide switch (SPST)</t>
        </is>
      </c>
      <c r="C16" s="19" t="n"/>
      <c r="D16" s="19" t="n"/>
      <c r="E16" s="19" t="inlineStr">
        <is>
          <t>C&amp;K</t>
        </is>
      </c>
      <c r="F16" s="19" t="inlineStr">
        <is>
          <t>Digikey</t>
        </is>
      </c>
      <c r="G16" s="19" t="n">
        <v>2</v>
      </c>
      <c r="H16" s="19" t="n">
        <v>1</v>
      </c>
      <c r="I16" s="19" t="n">
        <v>2</v>
      </c>
      <c r="J16" s="80" t="n">
        <v>0.95</v>
      </c>
      <c r="K16" s="80">
        <f>IF(G16&gt;0,J16/H16*G16,0)</f>
        <v/>
      </c>
      <c r="L16" s="80">
        <f>I16*J16</f>
        <v/>
      </c>
      <c r="M16" s="68" t="n"/>
      <c r="N16" s="74" t="inlineStr">
        <is>
          <t>https://www.digikey.ca/en/products/detail/c-k/os102011ma1qs1/1981431</t>
        </is>
      </c>
    </row>
    <row r="17">
      <c r="A17" s="19" t="n"/>
      <c r="B17" s="19" t="inlineStr">
        <is>
          <t>3.5 mm Mono Jack</t>
        </is>
      </c>
      <c r="C17" s="19" t="n"/>
      <c r="D17" s="19" t="n"/>
      <c r="E17" s="19" t="inlineStr">
        <is>
          <t>Same Sky (Formerly CUI Devices)</t>
        </is>
      </c>
      <c r="F17" s="19" t="inlineStr">
        <is>
          <t>Digikey</t>
        </is>
      </c>
      <c r="G17" s="19" t="n">
        <v>2</v>
      </c>
      <c r="H17" s="19" t="n">
        <v>1</v>
      </c>
      <c r="I17" s="19" t="n">
        <v>2</v>
      </c>
      <c r="J17" s="80" t="n">
        <v>2.17</v>
      </c>
      <c r="K17" s="80">
        <f>IF(G17&gt;0,J17/H17*G17,0)</f>
        <v/>
      </c>
      <c r="L17" s="80">
        <f>I17*J17</f>
        <v/>
      </c>
      <c r="M17" s="68" t="n"/>
      <c r="N17" s="74" t="inlineStr">
        <is>
          <t>https://www.digikey.ca/en/products/detail/cui-devices/SJ1-3535NG/738699</t>
        </is>
      </c>
    </row>
    <row r="18">
      <c r="A18" s="19" t="n"/>
      <c r="B18" s="19" t="inlineStr">
        <is>
          <t>Blue LED</t>
        </is>
      </c>
      <c r="C18" s="19" t="n"/>
      <c r="D18" s="19" t="n"/>
      <c r="E18" s="19" t="inlineStr">
        <is>
          <t>Wurth Elektronik</t>
        </is>
      </c>
      <c r="F18" s="19" t="inlineStr">
        <is>
          <t>Digikey</t>
        </is>
      </c>
      <c r="G18" s="19" t="n">
        <v>4</v>
      </c>
      <c r="H18" s="19" t="n">
        <v>1</v>
      </c>
      <c r="I18" s="19" t="n">
        <v>4</v>
      </c>
      <c r="J18" s="80" t="n">
        <v>0.37</v>
      </c>
      <c r="K18" s="80">
        <f>IF(G18&gt;0,J18/H18*G18,0)</f>
        <v/>
      </c>
      <c r="L18" s="80">
        <f>I18*J18</f>
        <v/>
      </c>
      <c r="M18" s="68" t="n"/>
      <c r="N18" s="74" t="inlineStr">
        <is>
          <t>https://www.digikey.ca/en/products/detail/w%C3%BCrth-elektronik/151051BS04000/4490009</t>
        </is>
      </c>
    </row>
    <row r="19">
      <c r="A19" s="19" t="n"/>
      <c r="B19" s="19" t="inlineStr">
        <is>
          <t>Resistor (2.2k Ω)</t>
        </is>
      </c>
      <c r="C19" s="19" t="n"/>
      <c r="D19" s="19" t="n"/>
      <c r="E19" s="19" t="inlineStr">
        <is>
          <t>Stackpole Electronics Inc</t>
        </is>
      </c>
      <c r="F19" s="19" t="inlineStr">
        <is>
          <t>Digikey</t>
        </is>
      </c>
      <c r="G19" s="19" t="n">
        <v>12</v>
      </c>
      <c r="H19" s="19" t="n">
        <v>1</v>
      </c>
      <c r="I19" s="19" t="n">
        <v>12</v>
      </c>
      <c r="J19" s="80" t="n">
        <v>0.16</v>
      </c>
      <c r="K19" s="80">
        <f>IF(G19&gt;0,J19/H19*G19,0)</f>
        <v/>
      </c>
      <c r="L19" s="80">
        <f>I19*J19</f>
        <v/>
      </c>
      <c r="M19" s="68" t="n"/>
      <c r="N19" s="74" t="inlineStr">
        <is>
          <t>https://www.digikey.ca/en/products/detail/stackpole-electronics-inc/CF18JT2K20/1741619</t>
        </is>
      </c>
    </row>
    <row r="20">
      <c r="A20" s="19" t="n"/>
      <c r="B20" s="19" t="inlineStr">
        <is>
          <t>5 pin female header</t>
        </is>
      </c>
      <c r="C20" s="19" t="n"/>
      <c r="D20" s="19" t="n"/>
      <c r="E20" s="19" t="inlineStr">
        <is>
          <t>Sullins Connector Solutions</t>
        </is>
      </c>
      <c r="F20" s="19" t="inlineStr">
        <is>
          <t>Digikey</t>
        </is>
      </c>
      <c r="G20" s="19" t="n">
        <v>2</v>
      </c>
      <c r="H20" s="19" t="n">
        <v>1</v>
      </c>
      <c r="I20" s="19" t="n">
        <v>2</v>
      </c>
      <c r="J20" s="80" t="n">
        <v>0.55</v>
      </c>
      <c r="K20" s="80">
        <f>IF(G20&gt;0,J20/H20*G20,0)</f>
        <v/>
      </c>
      <c r="L20" s="80">
        <f>I20*J20</f>
        <v/>
      </c>
      <c r="M20" s="68" t="n"/>
      <c r="N20" s="74" t="inlineStr">
        <is>
          <t>https://www.digikey.ca/en/products/detail/sullins-connector-solutions/PPTC051LFBN-RC/807239</t>
        </is>
      </c>
    </row>
    <row r="21">
      <c r="A21" s="19" t="n"/>
      <c r="B21" s="19" t="inlineStr">
        <is>
          <t>15 pin female header</t>
        </is>
      </c>
      <c r="C21" s="19" t="n"/>
      <c r="D21" s="19" t="n"/>
      <c r="E21" s="19" t="inlineStr">
        <is>
          <t>Sullins Connector Solutions</t>
        </is>
      </c>
      <c r="F21" s="19" t="inlineStr">
        <is>
          <t>Digikey</t>
        </is>
      </c>
      <c r="G21" s="19" t="n">
        <v>2</v>
      </c>
      <c r="H21" s="19" t="n">
        <v>1</v>
      </c>
      <c r="I21" s="19" t="n">
        <v>2</v>
      </c>
      <c r="J21" s="80" t="n">
        <v>1.19</v>
      </c>
      <c r="K21" s="80">
        <f>IF(G21&gt;0,J21/H21*G21,0)</f>
        <v/>
      </c>
      <c r="L21" s="80">
        <f>I21*J21</f>
        <v/>
      </c>
      <c r="M21" s="68" t="n"/>
      <c r="N21" s="74" t="inlineStr">
        <is>
          <t>https://www.digikey.ca/en/products/detail/sullins-connector-solutions/PPTC151LFBN-RC/810153</t>
        </is>
      </c>
    </row>
    <row r="22">
      <c r="A22" s="19" t="n"/>
      <c r="B22" s="19" t="inlineStr">
        <is>
          <t>Battery, 9V</t>
        </is>
      </c>
      <c r="C22" s="19" t="n"/>
      <c r="D22" s="19" t="n"/>
      <c r="E22" s="19" t="inlineStr">
        <is>
          <t>Duracell Industrial Corporation, Inc.</t>
        </is>
      </c>
      <c r="F22" s="19" t="inlineStr">
        <is>
          <t>Digikey</t>
        </is>
      </c>
      <c r="G22" s="19" t="n">
        <v>1</v>
      </c>
      <c r="H22" s="19" t="n">
        <v>1</v>
      </c>
      <c r="I22" s="19" t="n">
        <v>1</v>
      </c>
      <c r="J22" s="80" t="n">
        <v>7.49</v>
      </c>
      <c r="K22" s="80">
        <f>IF(G22&gt;0,J22/H22*G22,0)</f>
        <v/>
      </c>
      <c r="L22" s="80">
        <f>I22*J22</f>
        <v/>
      </c>
      <c r="M22" s="68" t="n"/>
      <c r="N22" s="74" t="inlineStr">
        <is>
          <t>https://www.digikey.ca/en/products/detail/duracell-industrial-operations-inc/9V/21259959</t>
        </is>
      </c>
    </row>
    <row r="23">
      <c r="A23" s="19" t="n"/>
      <c r="B23" s="19" t="inlineStr">
        <is>
          <t>Capacitor, 10 uF</t>
        </is>
      </c>
      <c r="C23" s="19" t="n"/>
      <c r="D23" s="19" t="inlineStr">
        <is>
          <t>FG24X7R1A106KRT06</t>
        </is>
      </c>
      <c r="E23" s="19" t="inlineStr">
        <is>
          <t>TDK Corporation</t>
        </is>
      </c>
      <c r="F23" s="19" t="inlineStr">
        <is>
          <t>Digikey</t>
        </is>
      </c>
      <c r="G23" s="19" t="n">
        <v>3</v>
      </c>
      <c r="H23" s="19" t="n">
        <v>1</v>
      </c>
      <c r="I23" s="19" t="n">
        <v>3</v>
      </c>
      <c r="J23" s="80" t="n">
        <v>0.5</v>
      </c>
      <c r="K23" s="80">
        <f>IF(G23&gt;0,J23/H23*G23,0)</f>
        <v/>
      </c>
      <c r="L23" s="80">
        <f>I23*J23</f>
        <v/>
      </c>
      <c r="M23" s="68" t="n"/>
      <c r="N23" s="74" t="inlineStr">
        <is>
          <t>https://www.digikey.ca/en/products/detail/tdk-corporation/FG24X7R1A106KRT06/5802984</t>
        </is>
      </c>
    </row>
    <row r="24">
      <c r="A24" s="19" t="n"/>
      <c r="B24" s="19" t="inlineStr">
        <is>
          <t>9V Battery Clip</t>
        </is>
      </c>
      <c r="C24" s="19" t="n"/>
      <c r="D24" s="19" t="n"/>
      <c r="E24" s="19" t="inlineStr">
        <is>
          <t>Keystone Electronics</t>
        </is>
      </c>
      <c r="F24" s="19" t="inlineStr">
        <is>
          <t>Digikey</t>
        </is>
      </c>
      <c r="G24" s="19" t="n">
        <v>1</v>
      </c>
      <c r="H24" s="19" t="n">
        <v>1</v>
      </c>
      <c r="I24" s="19" t="n">
        <v>1</v>
      </c>
      <c r="J24" s="80" t="n">
        <v>0.86</v>
      </c>
      <c r="K24" s="80">
        <f>IF(G24&gt;0,J24/H24*G24,0)</f>
        <v/>
      </c>
      <c r="L24" s="80">
        <f>I24*J24</f>
        <v/>
      </c>
      <c r="M24" s="68" t="n"/>
      <c r="N24" s="74" t="inlineStr">
        <is>
          <t>https://www.digikey.ca/en/products/detail/keystone-electronics/232/303804</t>
        </is>
      </c>
    </row>
    <row r="25">
      <c r="A25" s="19" t="n"/>
      <c r="B25" s="19" t="inlineStr">
        <is>
          <t>#4 Sheet Metal Screw</t>
        </is>
      </c>
      <c r="C25" s="19" t="inlineStr">
        <is>
          <t>#4 x 3/8" pan head, Phillips drive</t>
        </is>
      </c>
      <c r="D25" s="19" t="n"/>
      <c r="E25" s="19" t="inlineStr">
        <is>
          <t>Serpac</t>
        </is>
      </c>
      <c r="F25" s="19" t="inlineStr">
        <is>
          <t>Digikey</t>
        </is>
      </c>
      <c r="G25" s="19" t="n">
        <v>20</v>
      </c>
      <c r="H25" s="19" t="n">
        <v>1</v>
      </c>
      <c r="I25" s="19" t="n">
        <v>20</v>
      </c>
      <c r="J25" s="80" t="n">
        <v>0.61</v>
      </c>
      <c r="K25" s="80">
        <f>IF(G25&gt;0,J25/H25*G25,0)</f>
        <v/>
      </c>
      <c r="L25" s="80">
        <f>I25*J25</f>
        <v/>
      </c>
      <c r="M25" s="68" t="n"/>
      <c r="N25" s="74" t="inlineStr">
        <is>
          <t>https://www.digikey.ca/en/products/detail/serpac/6005/307599</t>
        </is>
      </c>
    </row>
    <row r="26">
      <c r="A26" s="19" t="n"/>
      <c r="B26" s="19" t="inlineStr">
        <is>
          <t>Ribbon Cable</t>
        </is>
      </c>
      <c r="C26" s="19" t="n"/>
      <c r="D26" s="19" t="n"/>
      <c r="E26" s="19" t="inlineStr">
        <is>
          <t>Assmann WSW Components</t>
        </is>
      </c>
      <c r="F26" s="19" t="inlineStr">
        <is>
          <t>Digikey</t>
        </is>
      </c>
      <c r="G26" s="19" t="n">
        <v>1</v>
      </c>
      <c r="H26" s="19" t="n">
        <v>1</v>
      </c>
      <c r="I26" s="19" t="n">
        <v>1</v>
      </c>
      <c r="J26" s="80" t="n">
        <v>1.63</v>
      </c>
      <c r="K26" s="80">
        <f>IF(G26&gt;0,J26/H26*G26,0)</f>
        <v/>
      </c>
      <c r="L26" s="80">
        <f>I26*J26</f>
        <v/>
      </c>
      <c r="M26" s="68" t="n"/>
      <c r="N26" s="74" t="inlineStr">
        <is>
          <t>https://www.digikey.ca/en/products/detail/assmann-wsw-components/H3DDS-1006G/1218627</t>
        </is>
      </c>
    </row>
    <row r="27">
      <c r="A27" s="19" t="n"/>
      <c r="B27" s="19" t="inlineStr">
        <is>
          <t>Ribbon Cable Header</t>
        </is>
      </c>
      <c r="C27" s="19" t="n"/>
      <c r="D27" s="19" t="n"/>
      <c r="E27" s="19" t="inlineStr">
        <is>
          <t>Amphenol ICC (FCI)</t>
        </is>
      </c>
      <c r="F27" s="19" t="inlineStr">
        <is>
          <t>Digikey</t>
        </is>
      </c>
      <c r="G27" s="19" t="n">
        <v>2</v>
      </c>
      <c r="H27" s="19" t="n">
        <v>1</v>
      </c>
      <c r="I27" s="19" t="n">
        <v>2</v>
      </c>
      <c r="J27" s="80" t="n">
        <v>0.79</v>
      </c>
      <c r="K27" s="80">
        <f>IF(G27&gt;0,J27/H27*G27,0)</f>
        <v/>
      </c>
      <c r="L27" s="80">
        <f>I27*J27</f>
        <v/>
      </c>
      <c r="M27" s="68" t="n"/>
      <c r="N27" s="74" t="inlineStr">
        <is>
          <t>https://www.digikey.ca/en/products/detail/amphenol-cs-fci/86130101014345E1LF/7592367</t>
        </is>
      </c>
    </row>
    <row r="28">
      <c r="A28" s="19" t="n"/>
      <c r="B28" s="19" t="inlineStr">
        <is>
          <t>Slide switch (SPDT)</t>
        </is>
      </c>
      <c r="C28" s="19" t="n"/>
      <c r="D28" s="19" t="n"/>
      <c r="E28" s="19" t="inlineStr">
        <is>
          <t>C&amp;K</t>
        </is>
      </c>
      <c r="F28" s="19" t="inlineStr">
        <is>
          <t>Digikey</t>
        </is>
      </c>
      <c r="G28" s="19" t="n">
        <v>2</v>
      </c>
      <c r="H28" s="19" t="n">
        <v>1</v>
      </c>
      <c r="I28" s="19" t="n">
        <v>2</v>
      </c>
      <c r="J28" s="80" t="n">
        <v>1.21</v>
      </c>
      <c r="K28" s="80">
        <f>IF(G28&gt;0,J28/H28*G28,0)</f>
        <v/>
      </c>
      <c r="L28" s="80">
        <f>I28*J28</f>
        <v/>
      </c>
      <c r="M28" s="68" t="n"/>
      <c r="N28" s="74" t="inlineStr">
        <is>
          <t>https://www.digikey.ca/en/products/detail/c-k/os103011ma7qp1/1981432</t>
        </is>
      </c>
    </row>
    <row r="29">
      <c r="A29" s="19" t="n"/>
      <c r="B29" s="19" t="inlineStr">
        <is>
          <t>24 gauge wire</t>
        </is>
      </c>
      <c r="C29" s="19" t="inlineStr">
        <is>
          <t>May be useful to buy two colours</t>
        </is>
      </c>
      <c r="D29" s="19" t="n"/>
      <c r="E29" s="19" t="inlineStr">
        <is>
          <t>TE Connectivity Raychem Cable Protection</t>
        </is>
      </c>
      <c r="F29" s="19" t="inlineStr">
        <is>
          <t>Digikey</t>
        </is>
      </c>
      <c r="G29" s="19" t="n">
        <v>9</v>
      </c>
      <c r="H29" s="19" t="n">
        <v>10</v>
      </c>
      <c r="I29" s="19" t="n">
        <v>1</v>
      </c>
      <c r="J29" s="80" t="n">
        <v>10.11</v>
      </c>
      <c r="K29" s="80">
        <f>IF(G29&gt;0,J29/H29*G29,0)</f>
        <v/>
      </c>
      <c r="L29" s="80">
        <f>I29*J29</f>
        <v/>
      </c>
      <c r="M29" s="68" t="n"/>
      <c r="N29" s="74" t="inlineStr">
        <is>
          <t>https://www.digikey.ca/en/products/detail/te-connectivity-raychem-cable-protection/55A0111-24-9/2399803</t>
        </is>
      </c>
    </row>
    <row r="30" ht="15" customHeight="1" thickBot="1">
      <c r="A30" s="19" t="n"/>
      <c r="B30" s="19" t="inlineStr">
        <is>
          <t>8 pin female header</t>
        </is>
      </c>
      <c r="C30" s="19" t="n"/>
      <c r="D30" s="19" t="n"/>
      <c r="E30" s="19" t="inlineStr">
        <is>
          <t>Sullins Connector Solutions</t>
        </is>
      </c>
      <c r="F30" s="19" t="inlineStr">
        <is>
          <t>Digikey</t>
        </is>
      </c>
      <c r="G30" s="19" t="n">
        <v>1</v>
      </c>
      <c r="H30" s="19" t="n">
        <v>1</v>
      </c>
      <c r="I30" s="19" t="n">
        <v>1</v>
      </c>
      <c r="J30" s="80" t="n">
        <v>0.74</v>
      </c>
      <c r="K30" s="80">
        <f>IF(G30&gt;0,J30/H30*G30,0)</f>
        <v/>
      </c>
      <c r="L30" s="80">
        <f>I30*J30</f>
        <v/>
      </c>
      <c r="M30" s="68" t="n"/>
      <c r="N30" s="74" t="inlineStr">
        <is>
          <t>https://www.digikey.ca/en/products/detail/sullins-connector-solutions/PPTC081LFBN-RC/810147</t>
        </is>
      </c>
    </row>
    <row r="31" ht="15" customHeight="1" thickBot="1">
      <c r="A31" s="28" t="n"/>
      <c r="B31" s="48" t="inlineStr">
        <is>
          <t>Custom PCB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82">
        <f>SUM(K33:K37)</f>
        <v/>
      </c>
      <c r="L31" s="82">
        <f>SUM(L33:L37)</f>
        <v/>
      </c>
      <c r="M31" s="29" t="n"/>
      <c r="N31" s="73" t="n"/>
    </row>
    <row r="32" ht="15" customHeight="1" thickBot="1">
      <c r="A32" s="30" t="n"/>
      <c r="B32" s="10" t="inlineStr">
        <is>
          <t>Part</t>
        </is>
      </c>
      <c r="C32" s="10" t="inlineStr">
        <is>
          <t>Description</t>
        </is>
      </c>
      <c r="D32" s="10" t="n"/>
      <c r="E32" s="10" t="inlineStr">
        <is>
          <t>Manufacturer</t>
        </is>
      </c>
      <c r="F32" s="10" t="inlineStr">
        <is>
          <t>Supplier</t>
        </is>
      </c>
      <c r="G32" s="10" t="inlineStr">
        <is>
          <t>QTY / Device</t>
        </is>
      </c>
      <c r="H32" s="10" t="inlineStr">
        <is>
          <t>QTY / PKG</t>
        </is>
      </c>
      <c r="I32" s="10" t="inlineStr">
        <is>
          <t>PKGs</t>
        </is>
      </c>
      <c r="J32" s="10" t="inlineStr">
        <is>
          <t>$/ PKG</t>
        </is>
      </c>
      <c r="K32" s="10" t="inlineStr">
        <is>
          <t>$ / Device</t>
        </is>
      </c>
      <c r="L32" s="10" t="inlineStr">
        <is>
          <t>Total Estimated Cost</t>
        </is>
      </c>
      <c r="M32" s="10" t="n"/>
      <c r="N32" s="10" t="inlineStr">
        <is>
          <t>Link</t>
        </is>
      </c>
    </row>
    <row r="33">
      <c r="A33" s="21" t="n"/>
      <c r="B33" s="21" t="inlineStr">
        <is>
          <t>Main PCB</t>
        </is>
      </c>
      <c r="C33" s="21" t="inlineStr">
        <is>
          <t>Main PCB board</t>
        </is>
      </c>
      <c r="D33" s="21" t="n"/>
      <c r="E33" s="21" t="n"/>
      <c r="F33" s="21" t="n"/>
      <c r="G33" s="21" t="n">
        <v>1</v>
      </c>
      <c r="H33" s="21" t="n">
        <v>5</v>
      </c>
      <c r="I33" s="21">
        <f>IF(G33&gt;0,CEILING(G33/H33,1),0)</f>
        <v/>
      </c>
      <c r="J33" s="83" t="n">
        <v>5</v>
      </c>
      <c r="K33" s="83">
        <f>IF(G33&gt;0,J33/H33*G33,0)</f>
        <v/>
      </c>
      <c r="L33" s="83">
        <f>I33*J33</f>
        <v/>
      </c>
      <c r="M33" s="21" t="n"/>
      <c r="N33" s="21" t="n"/>
    </row>
    <row r="34">
      <c r="A34" s="21" t="n"/>
      <c r="B34" s="21" t="inlineStr">
        <is>
          <t>Secondary PCB</t>
        </is>
      </c>
      <c r="C34" s="21" t="inlineStr">
        <is>
          <t>Secondary PCB board</t>
        </is>
      </c>
      <c r="D34" s="21" t="n"/>
      <c r="E34" s="21" t="n"/>
      <c r="F34" s="21" t="n"/>
      <c r="G34" s="21" t="n">
        <v>1</v>
      </c>
      <c r="H34" s="21" t="n">
        <v>5</v>
      </c>
      <c r="I34" s="21" t="n">
        <v>1</v>
      </c>
      <c r="J34" s="83" t="n">
        <v>5</v>
      </c>
      <c r="K34" s="83">
        <f>IF(G34&gt;0,J34/H34*G34,0)</f>
        <v/>
      </c>
      <c r="L34" s="83">
        <f>I34*J34</f>
        <v/>
      </c>
      <c r="M34" s="21" t="n"/>
      <c r="N34" s="21" t="n"/>
    </row>
    <row r="35">
      <c r="A35" s="21" t="n"/>
      <c r="B35" s="21" t="inlineStr">
        <is>
          <t>LED PCB</t>
        </is>
      </c>
      <c r="C35" s="21" t="inlineStr">
        <is>
          <t>Boards for LEDs</t>
        </is>
      </c>
      <c r="D35" s="21" t="n"/>
      <c r="E35" s="21" t="n"/>
      <c r="F35" s="21" t="n"/>
      <c r="G35" s="21" t="n">
        <v>4</v>
      </c>
      <c r="H35" s="21" t="n">
        <v>20</v>
      </c>
      <c r="I35" s="21" t="n">
        <v>1</v>
      </c>
      <c r="J35" s="83" t="n">
        <v>5</v>
      </c>
      <c r="K35" s="83">
        <f>IF(G35&gt;0,J35/H35*G35,0)</f>
        <v/>
      </c>
      <c r="L35" s="83">
        <f>I35*J35</f>
        <v/>
      </c>
      <c r="M35" s="21" t="n"/>
      <c r="N35" s="21" t="n"/>
    </row>
    <row r="36">
      <c r="A36" s="15" t="n"/>
      <c r="B36" s="15" t="n"/>
      <c r="C36" s="15" t="inlineStr">
        <is>
          <t>Shipping</t>
        </is>
      </c>
      <c r="D36" s="15" t="n"/>
      <c r="E36" s="15" t="n"/>
      <c r="F36" s="15" t="n"/>
      <c r="G36" s="15" t="n">
        <v>1</v>
      </c>
      <c r="H36" s="15" t="n">
        <v>5</v>
      </c>
      <c r="I36" s="21">
        <f>IF(G36&gt;0,CEILING(G36/H36,1),0)</f>
        <v/>
      </c>
      <c r="J36" s="83" t="n">
        <v>25</v>
      </c>
      <c r="K36" s="83">
        <f>IF(G36&gt;0,J36/H36*G36,0)</f>
        <v/>
      </c>
      <c r="L36" s="83">
        <f>I36*J36</f>
        <v/>
      </c>
      <c r="M36" s="15" t="n"/>
      <c r="N36" s="15" t="n"/>
    </row>
    <row r="37" ht="15" customFormat="1" customHeight="1" s="3" thickBot="1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</row>
    <row r="38" ht="15" customHeight="1" thickBot="1">
      <c r="A38" s="32" t="n"/>
      <c r="B38" s="49" t="inlineStr">
        <is>
          <t>3D Printed Parts</t>
        </is>
      </c>
      <c r="C38" s="33" t="n"/>
      <c r="D38" s="33" t="n"/>
      <c r="E38" s="33" t="n"/>
      <c r="F38" s="33" t="n"/>
      <c r="G38" s="33" t="n"/>
      <c r="H38" s="33" t="n"/>
      <c r="I38" s="12">
        <f>SUM(I40:I53)</f>
        <v/>
      </c>
      <c r="J38" s="84" t="n"/>
      <c r="K38" s="85">
        <f>SUM(K40:K53)</f>
        <v/>
      </c>
      <c r="L38" s="85">
        <f>SUM(L40:L53)</f>
        <v/>
      </c>
      <c r="M38" s="33" t="n"/>
      <c r="N38" s="35" t="n"/>
    </row>
    <row r="39" ht="15" customHeight="1" thickBot="1">
      <c r="A39" s="36" t="n"/>
      <c r="B39" s="12" t="inlineStr">
        <is>
          <t>Part</t>
        </is>
      </c>
      <c r="C39" s="12" t="inlineStr">
        <is>
          <t>Description</t>
        </is>
      </c>
      <c r="D39" s="12" t="inlineStr">
        <is>
          <t>Filament Type</t>
        </is>
      </c>
      <c r="E39" s="12" t="inlineStr">
        <is>
          <t>Filament</t>
        </is>
      </c>
      <c r="F39" s="12" t="inlineStr">
        <is>
          <t>Color</t>
        </is>
      </c>
      <c r="G39" s="12" t="inlineStr">
        <is>
          <t>QTY / Device</t>
        </is>
      </c>
      <c r="H39" s="12" t="inlineStr">
        <is>
          <t>Mass (g) / Part</t>
        </is>
      </c>
      <c r="I39" s="12" t="inlineStr">
        <is>
          <t>Total Mass</t>
        </is>
      </c>
      <c r="J39" s="12" t="inlineStr">
        <is>
          <t>$ / kg</t>
        </is>
      </c>
      <c r="K39" s="12" t="inlineStr">
        <is>
          <t>$ / Device</t>
        </is>
      </c>
      <c r="L39" s="12" t="inlineStr">
        <is>
          <t>Total Estimated Cost</t>
        </is>
      </c>
      <c r="M39" s="12" t="n"/>
      <c r="N39" s="12" t="inlineStr">
        <is>
          <t>Link</t>
        </is>
      </c>
    </row>
    <row r="40">
      <c r="A40" s="23" t="n"/>
      <c r="B40" s="23" t="inlineStr">
        <is>
          <t>Enclosure Bottom - Left</t>
        </is>
      </c>
      <c r="C40" s="23" t="n"/>
      <c r="D40" s="23" t="inlineStr">
        <is>
          <t>PLA</t>
        </is>
      </c>
      <c r="E40" s="23" t="n"/>
      <c r="F40" s="23" t="inlineStr">
        <is>
          <t>Any</t>
        </is>
      </c>
      <c r="G40" s="23" t="n">
        <v>1</v>
      </c>
      <c r="H40" s="23" t="n">
        <v>97</v>
      </c>
      <c r="I40" s="23">
        <f>G40*H40</f>
        <v/>
      </c>
      <c r="J40" s="86" t="n">
        <v>25</v>
      </c>
      <c r="K40" s="86">
        <f>IF(G40&gt;0,(J40/1000)*G40*H40,0)</f>
        <v/>
      </c>
      <c r="L40" s="86">
        <f>K40</f>
        <v/>
      </c>
      <c r="M40" s="23" t="n"/>
      <c r="N40" s="23" t="inlineStr">
        <is>
          <t>2h44m</t>
        </is>
      </c>
    </row>
    <row r="41">
      <c r="A41" s="16" t="n"/>
      <c r="B41" s="16" t="inlineStr">
        <is>
          <t>Enclosure Bottom - Right</t>
        </is>
      </c>
      <c r="C41" s="16" t="n"/>
      <c r="D41" s="16" t="inlineStr">
        <is>
          <t>PLA</t>
        </is>
      </c>
      <c r="E41" s="16" t="n"/>
      <c r="F41" s="16" t="inlineStr">
        <is>
          <t>Any</t>
        </is>
      </c>
      <c r="G41" s="16" t="n">
        <v>1</v>
      </c>
      <c r="H41" s="16" t="n">
        <v>100</v>
      </c>
      <c r="I41" s="16">
        <f>G41*H41</f>
        <v/>
      </c>
      <c r="J41" s="87" t="n">
        <v>25</v>
      </c>
      <c r="K41" s="87">
        <f>IF(G41&gt;0,(J41/1000)*G41*H41,0)</f>
        <v/>
      </c>
      <c r="L41" s="87">
        <f>K41</f>
        <v/>
      </c>
      <c r="M41" s="16" t="n"/>
      <c r="N41" s="16" t="inlineStr">
        <is>
          <t>2h29m</t>
        </is>
      </c>
    </row>
    <row r="42">
      <c r="A42" s="16" t="n"/>
      <c r="B42" s="16" t="inlineStr">
        <is>
          <t>Enclosure Top - Left</t>
        </is>
      </c>
      <c r="C42" s="16" t="n"/>
      <c r="D42" s="16" t="inlineStr">
        <is>
          <t>PLA</t>
        </is>
      </c>
      <c r="E42" s="16" t="n"/>
      <c r="F42" s="16" t="inlineStr">
        <is>
          <t>Any</t>
        </is>
      </c>
      <c r="G42" s="16" t="n">
        <v>1</v>
      </c>
      <c r="H42" s="16" t="n">
        <v>76</v>
      </c>
      <c r="I42" s="16">
        <f>G42*H42</f>
        <v/>
      </c>
      <c r="J42" s="86" t="n">
        <v>25</v>
      </c>
      <c r="K42" s="87">
        <f>IF(G42&gt;0,(J42/1000)*G42*H42,0)</f>
        <v/>
      </c>
      <c r="L42" s="87">
        <f>K42</f>
        <v/>
      </c>
      <c r="M42" s="16" t="n"/>
      <c r="N42" s="16" t="inlineStr">
        <is>
          <t>2h14m</t>
        </is>
      </c>
    </row>
    <row r="43">
      <c r="A43" s="16" t="n"/>
      <c r="B43" s="16" t="inlineStr">
        <is>
          <t>Enclosure Top - Right</t>
        </is>
      </c>
      <c r="C43" s="16" t="n"/>
      <c r="D43" s="16" t="inlineStr">
        <is>
          <t>PLA</t>
        </is>
      </c>
      <c r="E43" s="16" t="n"/>
      <c r="F43" s="16" t="inlineStr">
        <is>
          <t>Any</t>
        </is>
      </c>
      <c r="G43" s="16" t="n">
        <v>1</v>
      </c>
      <c r="H43" s="16" t="n">
        <v>76</v>
      </c>
      <c r="I43" s="16">
        <f>G43*H43</f>
        <v/>
      </c>
      <c r="J43" s="87" t="n">
        <v>25</v>
      </c>
      <c r="K43" s="87">
        <f>IF(G43&gt;0,(J43/1000)*G43*H43,0)</f>
        <v/>
      </c>
      <c r="L43" s="87">
        <f>K43</f>
        <v/>
      </c>
      <c r="M43" s="16" t="n"/>
      <c r="N43" s="16" t="inlineStr">
        <is>
          <t>2h6m</t>
        </is>
      </c>
    </row>
    <row r="44">
      <c r="A44" s="16" t="n"/>
      <c r="B44" s="16" t="inlineStr">
        <is>
          <t>Label Holder</t>
        </is>
      </c>
      <c r="C44" s="16" t="n"/>
      <c r="D44" s="16" t="inlineStr">
        <is>
          <t>PLA</t>
        </is>
      </c>
      <c r="E44" s="16" t="n"/>
      <c r="F44" s="16" t="inlineStr">
        <is>
          <t>Any</t>
        </is>
      </c>
      <c r="G44" s="16" t="n">
        <v>4</v>
      </c>
      <c r="H44" s="16" t="n">
        <v>19</v>
      </c>
      <c r="I44" s="16">
        <f>G44*H44</f>
        <v/>
      </c>
      <c r="J44" s="86" t="n">
        <v>25</v>
      </c>
      <c r="K44" s="87">
        <f>IF(G44&gt;0,(J44/1000)*G44*H44,0)</f>
        <v/>
      </c>
      <c r="L44" s="87">
        <f>K44</f>
        <v/>
      </c>
      <c r="M44" s="16" t="n"/>
      <c r="N44" s="16" t="inlineStr">
        <is>
          <t>31m (each)</t>
        </is>
      </c>
    </row>
    <row r="45">
      <c r="A45" s="16" t="n"/>
      <c r="B45" s="16" t="inlineStr">
        <is>
          <t>Button Base</t>
        </is>
      </c>
      <c r="C45" s="16" t="n"/>
      <c r="D45" s="16" t="inlineStr">
        <is>
          <t>PLA</t>
        </is>
      </c>
      <c r="E45" s="16" t="n"/>
      <c r="F45" s="16" t="inlineStr">
        <is>
          <t>Any</t>
        </is>
      </c>
      <c r="G45" s="16" t="n">
        <v>4</v>
      </c>
      <c r="H45" s="16" t="n">
        <v>23</v>
      </c>
      <c r="I45" s="16">
        <f>G45*H45</f>
        <v/>
      </c>
      <c r="J45" s="86" t="n">
        <v>25</v>
      </c>
      <c r="K45" s="87">
        <f>IF(G45&gt;0,(J45/1000)*G45*H45,0)</f>
        <v/>
      </c>
      <c r="L45" s="87">
        <f>K45</f>
        <v/>
      </c>
      <c r="M45" s="16" t="n"/>
      <c r="N45" s="16" t="inlineStr">
        <is>
          <t>37m (each)</t>
        </is>
      </c>
    </row>
    <row r="46">
      <c r="A46" s="16" t="n"/>
      <c r="B46" s="69" t="inlineStr">
        <is>
          <t>Button Cap</t>
        </is>
      </c>
      <c r="C46" s="69" t="n"/>
      <c r="D46" s="69" t="inlineStr">
        <is>
          <t>PLA</t>
        </is>
      </c>
      <c r="E46" s="69" t="n"/>
      <c r="F46" s="69" t="inlineStr">
        <is>
          <t>Any</t>
        </is>
      </c>
      <c r="G46" s="69" t="n">
        <v>4</v>
      </c>
      <c r="H46" s="69" t="n">
        <v>13</v>
      </c>
      <c r="I46" s="69">
        <f>G46*H46</f>
        <v/>
      </c>
      <c r="J46" s="87" t="n">
        <v>25</v>
      </c>
      <c r="K46" s="87">
        <f>IF(G46&gt;0,(J46/1000)*G46*H46,0)</f>
        <v/>
      </c>
      <c r="L46" s="87">
        <f>K46</f>
        <v/>
      </c>
      <c r="M46" s="16" t="n"/>
      <c r="N46" s="16" t="inlineStr">
        <is>
          <t>28m (each)</t>
        </is>
      </c>
    </row>
    <row r="47">
      <c r="A47" s="16" t="n"/>
      <c r="B47" s="69" t="inlineStr">
        <is>
          <t>Button Insert</t>
        </is>
      </c>
      <c r="C47" s="69" t="n"/>
      <c r="D47" s="69" t="inlineStr">
        <is>
          <t>PLA</t>
        </is>
      </c>
      <c r="E47" s="69" t="n"/>
      <c r="F47" s="69" t="inlineStr">
        <is>
          <t>Any</t>
        </is>
      </c>
      <c r="G47" s="69" t="n">
        <v>4</v>
      </c>
      <c r="H47" s="69" t="n">
        <v>7</v>
      </c>
      <c r="I47" s="69">
        <f>G47*H47</f>
        <v/>
      </c>
      <c r="J47" s="86" t="n">
        <v>25</v>
      </c>
      <c r="K47" s="87">
        <f>IF(G47&gt;0,(J47/1000)*G47*H47,0)</f>
        <v/>
      </c>
      <c r="L47" s="87">
        <f>K47</f>
        <v/>
      </c>
      <c r="M47" s="16" t="n"/>
      <c r="N47" s="16" t="inlineStr">
        <is>
          <t>22m (each)</t>
        </is>
      </c>
    </row>
    <row r="48">
      <c r="A48" s="16" t="n"/>
      <c r="B48" s="69" t="inlineStr">
        <is>
          <t>Centre Support</t>
        </is>
      </c>
      <c r="C48" s="69" t="n"/>
      <c r="D48" s="69" t="inlineStr">
        <is>
          <t>PLA</t>
        </is>
      </c>
      <c r="E48" s="69" t="n"/>
      <c r="F48" s="69" t="inlineStr">
        <is>
          <t>Any</t>
        </is>
      </c>
      <c r="G48" s="69" t="n">
        <v>2</v>
      </c>
      <c r="H48" s="69" t="n">
        <v>21</v>
      </c>
      <c r="I48" s="69">
        <f>G48*H48</f>
        <v/>
      </c>
      <c r="J48" s="87" t="n">
        <v>25</v>
      </c>
      <c r="K48" s="87">
        <f>IF(G48&gt;0,(J48/1000)*G48*H48,0)</f>
        <v/>
      </c>
      <c r="L48" s="87">
        <f>K48</f>
        <v/>
      </c>
      <c r="M48" s="16" t="n"/>
      <c r="N48" s="16" t="inlineStr">
        <is>
          <t>47m (each)</t>
        </is>
      </c>
    </row>
    <row r="49">
      <c r="A49" s="37" t="n"/>
      <c r="B49" s="71" t="inlineStr">
        <is>
          <t>Slide Switch Cover</t>
        </is>
      </c>
      <c r="C49" s="71" t="n"/>
      <c r="D49" s="71" t="inlineStr">
        <is>
          <t>PLA</t>
        </is>
      </c>
      <c r="E49" s="71" t="n"/>
      <c r="F49" s="71" t="inlineStr">
        <is>
          <t>Any</t>
        </is>
      </c>
      <c r="G49" s="71" t="n">
        <v>4</v>
      </c>
      <c r="H49" s="71" t="n">
        <v>1</v>
      </c>
      <c r="I49" s="71">
        <f>G49*H49</f>
        <v/>
      </c>
      <c r="J49" s="87" t="n">
        <v>25</v>
      </c>
      <c r="K49" s="87">
        <f>IF(G49&gt;0,(J49/1000)*G49*H49,0)</f>
        <v/>
      </c>
      <c r="L49" s="87">
        <f>K49</f>
        <v/>
      </c>
      <c r="M49" s="37" t="n"/>
      <c r="N49" s="37" t="inlineStr">
        <is>
          <t>9m (each)</t>
        </is>
      </c>
    </row>
    <row r="50">
      <c r="A50" s="37" t="n"/>
      <c r="B50" s="71" t="inlineStr">
        <is>
          <t>Slide Switch Cover Pin</t>
        </is>
      </c>
      <c r="C50" s="71" t="n"/>
      <c r="D50" s="71" t="inlineStr">
        <is>
          <t>PLA</t>
        </is>
      </c>
      <c r="E50" s="71" t="n"/>
      <c r="F50" s="71" t="inlineStr">
        <is>
          <t>Any</t>
        </is>
      </c>
      <c r="G50" s="71" t="n">
        <v>4</v>
      </c>
      <c r="H50" s="71" t="n">
        <v>1</v>
      </c>
      <c r="I50" s="71">
        <f>G50*H50</f>
        <v/>
      </c>
      <c r="J50" s="87" t="n">
        <v>25</v>
      </c>
      <c r="K50" s="87">
        <f>IF(G50&gt;0,(J50/1000)*G50*H50,0)</f>
        <v/>
      </c>
      <c r="L50" s="87">
        <f>K50</f>
        <v/>
      </c>
      <c r="M50" s="37" t="n"/>
      <c r="N50" s="37" t="inlineStr">
        <is>
          <t>7m (each)</t>
        </is>
      </c>
    </row>
    <row r="51">
      <c r="A51" s="37" t="n"/>
      <c r="B51" s="71" t="inlineStr">
        <is>
          <t>Volume Knob</t>
        </is>
      </c>
      <c r="C51" s="71" t="n"/>
      <c r="D51" s="71" t="inlineStr">
        <is>
          <t>PLA</t>
        </is>
      </c>
      <c r="E51" s="71" t="n"/>
      <c r="F51" s="71" t="inlineStr">
        <is>
          <t>Any</t>
        </is>
      </c>
      <c r="G51" s="71" t="n">
        <v>1</v>
      </c>
      <c r="H51" s="71" t="n">
        <v>2</v>
      </c>
      <c r="I51" s="71">
        <f>G51*H51</f>
        <v/>
      </c>
      <c r="J51" s="86" t="n">
        <v>25</v>
      </c>
      <c r="K51" s="87">
        <f>IF(G51&gt;0,(J51/1000)*G51*H51,0)</f>
        <v/>
      </c>
      <c r="L51" s="87">
        <f>K51</f>
        <v/>
      </c>
      <c r="M51" s="37" t="n"/>
      <c r="N51" s="37" t="inlineStr">
        <is>
          <t>13m</t>
        </is>
      </c>
    </row>
    <row r="52">
      <c r="A52" s="37" t="n"/>
      <c r="B52" s="37" t="inlineStr">
        <is>
          <t>Battery Cover</t>
        </is>
      </c>
      <c r="C52" s="37" t="n"/>
      <c r="D52" s="37" t="inlineStr">
        <is>
          <t>PLA</t>
        </is>
      </c>
      <c r="E52" s="37" t="n"/>
      <c r="F52" s="37" t="inlineStr">
        <is>
          <t>Any</t>
        </is>
      </c>
      <c r="G52" s="37" t="n">
        <v>1</v>
      </c>
      <c r="H52" s="37" t="n">
        <v>9</v>
      </c>
      <c r="I52" s="37">
        <f>G52*H52</f>
        <v/>
      </c>
      <c r="J52" s="86" t="n">
        <v>25</v>
      </c>
      <c r="K52" s="87">
        <f>IF(G52&gt;0,(J52/1000)*G52*H52,0)</f>
        <v/>
      </c>
      <c r="L52" s="87">
        <f>K52</f>
        <v/>
      </c>
      <c r="M52" s="37" t="n"/>
      <c r="N52" s="37" t="inlineStr">
        <is>
          <t>27m</t>
        </is>
      </c>
    </row>
    <row r="53" ht="15" customFormat="1" customHeight="1" s="66" thickBot="1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88" t="n"/>
      <c r="K53" s="88" t="n"/>
      <c r="L53" s="88" t="n"/>
      <c r="M53" s="64" t="n"/>
      <c r="N53" s="64" t="n"/>
    </row>
    <row r="54" ht="15" customHeight="1" thickBot="1">
      <c r="A54" s="38" t="n"/>
      <c r="B54" s="50" t="inlineStr">
        <is>
          <t>Tools</t>
        </is>
      </c>
      <c r="C54" s="39" t="n"/>
      <c r="D54" s="39" t="n"/>
      <c r="E54" s="39" t="n"/>
      <c r="F54" s="39" t="n"/>
      <c r="G54" s="39" t="n"/>
      <c r="H54" s="39" t="n"/>
      <c r="I54" s="39" t="n"/>
      <c r="J54" s="89" t="n"/>
      <c r="K54" s="39" t="n"/>
      <c r="L54" s="39" t="n"/>
      <c r="M54" s="39" t="n"/>
      <c r="N54" s="41" t="n"/>
    </row>
    <row r="55" ht="15" customHeight="1" thickBot="1">
      <c r="A55" s="42" t="n"/>
      <c r="B55" s="61" t="inlineStr">
        <is>
          <t>Tool</t>
        </is>
      </c>
      <c r="C55" s="61" t="inlineStr">
        <is>
          <t>Description</t>
        </is>
      </c>
      <c r="D55" s="26" t="n"/>
      <c r="E55" s="61" t="inlineStr">
        <is>
          <t>Manufacturer</t>
        </is>
      </c>
      <c r="F55" s="61" t="inlineStr">
        <is>
          <t>Supplier</t>
        </is>
      </c>
      <c r="G55" s="26" t="n"/>
      <c r="H55" s="26" t="n"/>
      <c r="I55" s="26" t="n"/>
      <c r="J55" s="26" t="n"/>
      <c r="K55" s="26" t="n"/>
      <c r="L55" s="26" t="n"/>
      <c r="M55" s="26" t="n"/>
      <c r="N55" s="61" t="inlineStr">
        <is>
          <t>Link</t>
        </is>
      </c>
    </row>
    <row r="56">
      <c r="A56" s="25" t="n"/>
      <c r="B56" s="25" t="inlineStr">
        <is>
          <t>Soldering Iron</t>
        </is>
      </c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17" t="n"/>
      <c r="B57" s="17" t="inlineStr">
        <is>
          <t>60Pb/40Tn Solder Wire</t>
        </is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</row>
    <row r="58">
      <c r="A58" s="17" t="n"/>
      <c r="B58" s="17" t="inlineStr">
        <is>
          <t>Needle Nose Pliers</t>
        </is>
      </c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</row>
    <row r="59">
      <c r="A59" s="17" t="n"/>
      <c r="B59" s="17" t="inlineStr">
        <is>
          <t>Flush Cutters</t>
        </is>
      </c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</row>
    <row r="60">
      <c r="A60" s="17" t="n"/>
      <c r="B60" s="17" t="inlineStr">
        <is>
          <t>Wire strippers</t>
        </is>
      </c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</row>
    <row r="61" ht="15" customHeight="1" thickBot="1">
      <c r="A61" s="43" t="n"/>
      <c r="B61" s="43" t="inlineStr">
        <is>
          <t>Desolder Pump (Optional)</t>
        </is>
      </c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</row>
    <row r="62" ht="15" customHeight="1" thickBot="1">
      <c r="A62" s="44" t="n"/>
      <c r="B62" s="51" t="inlineStr">
        <is>
          <t>Alternatives</t>
        </is>
      </c>
      <c r="C62" s="45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3" t="n"/>
    </row>
    <row r="63" ht="15" customHeight="1" thickBot="1">
      <c r="A63" s="46" t="n"/>
      <c r="B63" s="14" t="inlineStr">
        <is>
          <t>Part</t>
        </is>
      </c>
      <c r="C63" s="14" t="inlineStr">
        <is>
          <t>Description</t>
        </is>
      </c>
      <c r="D63" s="14" t="n"/>
      <c r="E63" s="14" t="inlineStr">
        <is>
          <t>Manufacturer</t>
        </is>
      </c>
      <c r="F63" s="14" t="inlineStr">
        <is>
          <t>Supplier</t>
        </is>
      </c>
      <c r="G63" s="14" t="inlineStr">
        <is>
          <t>QTY / Device</t>
        </is>
      </c>
      <c r="H63" s="14" t="inlineStr">
        <is>
          <t>QTY / PKG</t>
        </is>
      </c>
      <c r="I63" s="14" t="inlineStr">
        <is>
          <t>PKGs</t>
        </is>
      </c>
      <c r="J63" s="14" t="inlineStr">
        <is>
          <t>$/ PKG</t>
        </is>
      </c>
      <c r="K63" s="14" t="inlineStr">
        <is>
          <t>$ / Device</t>
        </is>
      </c>
      <c r="L63" s="14" t="inlineStr">
        <is>
          <t>Total Estimated Cost</t>
        </is>
      </c>
      <c r="M63" s="14" t="n"/>
      <c r="N63" s="14" t="inlineStr">
        <is>
          <t>Link</t>
        </is>
      </c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</sheetData>
  <mergeCells count="1">
    <mergeCell ref="B1:J1"/>
  </mergeCells>
  <hyperlinks>
    <hyperlink xmlns:r="http://schemas.openxmlformats.org/officeDocument/2006/relationships" ref="N10" r:id="rId1"/>
    <hyperlink xmlns:r="http://schemas.openxmlformats.org/officeDocument/2006/relationships" ref="N11" r:id="rId2"/>
    <hyperlink xmlns:r="http://schemas.openxmlformats.org/officeDocument/2006/relationships" ref="N12" r:id="rId3"/>
    <hyperlink xmlns:r="http://schemas.openxmlformats.org/officeDocument/2006/relationships" ref="N13" r:id="rId4"/>
    <hyperlink xmlns:r="http://schemas.openxmlformats.org/officeDocument/2006/relationships" ref="N14" r:id="rId5"/>
    <hyperlink xmlns:r="http://schemas.openxmlformats.org/officeDocument/2006/relationships" ref="N15" r:id="rId6"/>
    <hyperlink xmlns:r="http://schemas.openxmlformats.org/officeDocument/2006/relationships" ref="N16" r:id="rId7"/>
    <hyperlink xmlns:r="http://schemas.openxmlformats.org/officeDocument/2006/relationships" ref="N17" r:id="rId8"/>
    <hyperlink xmlns:r="http://schemas.openxmlformats.org/officeDocument/2006/relationships" ref="N18" r:id="rId9"/>
    <hyperlink xmlns:r="http://schemas.openxmlformats.org/officeDocument/2006/relationships" ref="N19" r:id="rId10"/>
    <hyperlink xmlns:r="http://schemas.openxmlformats.org/officeDocument/2006/relationships" ref="N20" r:id="rId11"/>
    <hyperlink xmlns:r="http://schemas.openxmlformats.org/officeDocument/2006/relationships" ref="N21" r:id="rId12"/>
    <hyperlink xmlns:r="http://schemas.openxmlformats.org/officeDocument/2006/relationships" ref="N22" r:id="rId13"/>
    <hyperlink xmlns:r="http://schemas.openxmlformats.org/officeDocument/2006/relationships" ref="N23" r:id="rId14"/>
    <hyperlink xmlns:r="http://schemas.openxmlformats.org/officeDocument/2006/relationships" ref="N24" r:id="rId15"/>
    <hyperlink xmlns:r="http://schemas.openxmlformats.org/officeDocument/2006/relationships" ref="N25" r:id="rId16"/>
    <hyperlink xmlns:r="http://schemas.openxmlformats.org/officeDocument/2006/relationships" ref="N26" r:id="rId17"/>
    <hyperlink xmlns:r="http://schemas.openxmlformats.org/officeDocument/2006/relationships" ref="N27" r:id="rId18"/>
    <hyperlink xmlns:r="http://schemas.openxmlformats.org/officeDocument/2006/relationships" ref="N28" r:id="rId19"/>
    <hyperlink xmlns:r="http://schemas.openxmlformats.org/officeDocument/2006/relationships" ref="N29" r:id="rId20"/>
    <hyperlink xmlns:r="http://schemas.openxmlformats.org/officeDocument/2006/relationships" ref="N30" r:id="rId2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MMC Co-op</dc:creator>
  <dcterms:created xsi:type="dcterms:W3CDTF">2021-04-20T01:54:08Z</dcterms:created>
  <dcterms:modified xsi:type="dcterms:W3CDTF">2026-04-15T19:09:27Z</dcterms:modified>
  <cp:lastModifiedBy>Stephan Dobri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0x010100B51EC7ECFAC78D4E8EF6CBAFFF0B3505</vt:lpwstr>
  </property>
  <property name="MediaServiceImageTags" fmtid="{D5CDD505-2E9C-101B-9397-08002B2CF9AE}" pid="3">
    <vt:lpwstr/>
  </property>
</Properties>
</file>